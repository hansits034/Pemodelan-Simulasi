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ic" sheetId="1" r:id="rId4"/>
    <sheet state="visible" name="Dynamic" sheetId="2" r:id="rId5"/>
  </sheets>
  <definedNames/>
  <calcPr/>
  <extLst>
    <ext uri="GoogleSheetsCustomDataVersion2">
      <go:sheetsCustomData xmlns:go="http://customooxmlschemas.google.com/" r:id="rId6" roundtripDataChecksum="k3KMiy9I5aA5G9BF0vHVjuDteEAhdhRw2D9Rdoi5JnI="/>
    </ext>
  </extLst>
</workbook>
</file>

<file path=xl/sharedStrings.xml><?xml version="1.0" encoding="utf-8"?>
<sst xmlns="http://schemas.openxmlformats.org/spreadsheetml/2006/main" count="2040" uniqueCount="616">
  <si>
    <t>Part</t>
  </si>
  <si>
    <t>T_TibaAntrean_detik</t>
  </si>
  <si>
    <t>T_ProsesSelesai_Sebelumnya_detik</t>
  </si>
  <si>
    <t>T_ProsesMulai_detik</t>
  </si>
  <si>
    <t>WaktuTunggu_Wq_detik</t>
  </si>
  <si>
    <t>T_ProsesSelesai_detik</t>
  </si>
  <si>
    <t>WaktuProses_detik</t>
  </si>
  <si>
    <t>WaktuProses_menit</t>
  </si>
  <si>
    <t>PartsArrive_1</t>
  </si>
  <si>
    <t>60.0</t>
  </si>
  <si>
    <t>0.0</t>
  </si>
  <si>
    <t>344.063531</t>
  </si>
  <si>
    <t>284.063531</t>
  </si>
  <si>
    <t>PartsArrive_2</t>
  </si>
  <si>
    <t>360.0</t>
  </si>
  <si>
    <t>580.384816</t>
  </si>
  <si>
    <t>220.384816</t>
  </si>
  <si>
    <t>PartsArrive_3</t>
  </si>
  <si>
    <t>660.0</t>
  </si>
  <si>
    <t>887.241782</t>
  </si>
  <si>
    <t>227.241782</t>
  </si>
  <si>
    <t>PartsArrive_4</t>
  </si>
  <si>
    <t>960.0</t>
  </si>
  <si>
    <t>1192.320454</t>
  </si>
  <si>
    <t>232.320454</t>
  </si>
  <si>
    <t>PartsArrive_5</t>
  </si>
  <si>
    <t>1260.0</t>
  </si>
  <si>
    <t>1409.051798</t>
  </si>
  <si>
    <t>149.051798</t>
  </si>
  <si>
    <t>PartsArrive_6</t>
  </si>
  <si>
    <t>1560.0</t>
  </si>
  <si>
    <t>1766.673898</t>
  </si>
  <si>
    <t>206.673898</t>
  </si>
  <si>
    <t>PartsArrive_7</t>
  </si>
  <si>
    <t>1860.0</t>
  </si>
  <si>
    <t>2107.535817</t>
  </si>
  <si>
    <t>247.535817</t>
  </si>
  <si>
    <t>PartsArrive_8</t>
  </si>
  <si>
    <t>2160.0</t>
  </si>
  <si>
    <t>2488.095699</t>
  </si>
  <si>
    <t>328.095699</t>
  </si>
  <si>
    <t>PartsArrive_9</t>
  </si>
  <si>
    <t>2460.0</t>
  </si>
  <si>
    <t>28.095699</t>
  </si>
  <si>
    <t>2684.45495</t>
  </si>
  <si>
    <t>196.359251</t>
  </si>
  <si>
    <t>PartsArrive_10</t>
  </si>
  <si>
    <t>2760.0</t>
  </si>
  <si>
    <t>3012.007588</t>
  </si>
  <si>
    <t>252.007588</t>
  </si>
  <si>
    <t>PartsArrive_11</t>
  </si>
  <si>
    <t>3060.0</t>
  </si>
  <si>
    <t>3286.706482</t>
  </si>
  <si>
    <t>226.706482</t>
  </si>
  <si>
    <t>PartsArrive_12</t>
  </si>
  <si>
    <t>3360.0</t>
  </si>
  <si>
    <t>3655.836707</t>
  </si>
  <si>
    <t>295.836707</t>
  </si>
  <si>
    <t>PartsArrive_13</t>
  </si>
  <si>
    <t>3660.0</t>
  </si>
  <si>
    <t>3892.4794919999995</t>
  </si>
  <si>
    <t>232.47949199999955</t>
  </si>
  <si>
    <t>PartsArrive_14</t>
  </si>
  <si>
    <t>3960.0</t>
  </si>
  <si>
    <t>4117.484211999999</t>
  </si>
  <si>
    <t>157.48421199999945</t>
  </si>
  <si>
    <t>PartsArrive_15</t>
  </si>
  <si>
    <t>4260.0</t>
  </si>
  <si>
    <t>4484.257181999999</t>
  </si>
  <si>
    <t>224.2571819999991</t>
  </si>
  <si>
    <t>PartsArrive_16</t>
  </si>
  <si>
    <t>4560.0</t>
  </si>
  <si>
    <t>4787.860103</t>
  </si>
  <si>
    <t>227.860103</t>
  </si>
  <si>
    <t>PartsArrive_17</t>
  </si>
  <si>
    <t>4860.0</t>
  </si>
  <si>
    <t>5090.548605999999</t>
  </si>
  <si>
    <t>230.54860599999927</t>
  </si>
  <si>
    <t>PartsArrive_18</t>
  </si>
  <si>
    <t>5160.0</t>
  </si>
  <si>
    <t>5454.531677999999</t>
  </si>
  <si>
    <t>294.5316779999992</t>
  </si>
  <si>
    <t>PartsArrive_19</t>
  </si>
  <si>
    <t>5460.0</t>
  </si>
  <si>
    <t>5635.3230969999995</t>
  </si>
  <si>
    <t>175.32309699999965</t>
  </si>
  <si>
    <t>PartsArrive_20</t>
  </si>
  <si>
    <t>5760.0</t>
  </si>
  <si>
    <t>6111.670816</t>
  </si>
  <si>
    <t>351.670816</t>
  </si>
  <si>
    <t>PartsArrive_21</t>
  </si>
  <si>
    <t>6060.0</t>
  </si>
  <si>
    <t>51.670816</t>
  </si>
  <si>
    <t>6483.700250999999</t>
  </si>
  <si>
    <t>372.029434999999</t>
  </si>
  <si>
    <t>PartsArrive_22</t>
  </si>
  <si>
    <t>6360.0</t>
  </si>
  <si>
    <t>123.70025099999916</t>
  </si>
  <si>
    <t>6758.017779</t>
  </si>
  <si>
    <t>274.3175280000001</t>
  </si>
  <si>
    <t>PartsArrive_23</t>
  </si>
  <si>
    <t>6660.0</t>
  </si>
  <si>
    <t>98.017779</t>
  </si>
  <si>
    <t>6855.925620999999</t>
  </si>
  <si>
    <t>97.90784199999914</t>
  </si>
  <si>
    <t>PartsArrive_24</t>
  </si>
  <si>
    <t>6960.0</t>
  </si>
  <si>
    <t>7231.610732</t>
  </si>
  <si>
    <t>271.610732</t>
  </si>
  <si>
    <t>PartsArrive_25</t>
  </si>
  <si>
    <t>7260.0</t>
  </si>
  <si>
    <t>7456.63778</t>
  </si>
  <si>
    <t>196.6377799999994</t>
  </si>
  <si>
    <t>PartsArrive_26</t>
  </si>
  <si>
    <t>7560.0</t>
  </si>
  <si>
    <t>7876.405943000001</t>
  </si>
  <si>
    <t>316.40594300000086</t>
  </si>
  <si>
    <t>PartsArrive_27</t>
  </si>
  <si>
    <t>7860.0</t>
  </si>
  <si>
    <t>16.405943000000858</t>
  </si>
  <si>
    <t>8101.931171</t>
  </si>
  <si>
    <t>225.52522799999914</t>
  </si>
  <si>
    <t>PartsArrive_28</t>
  </si>
  <si>
    <t>8160.0</t>
  </si>
  <si>
    <t>8438.939123</t>
  </si>
  <si>
    <t>278.9391230000004</t>
  </si>
  <si>
    <t>PartsArrive_29</t>
  </si>
  <si>
    <t>8460.0</t>
  </si>
  <si>
    <t>8698.034410999999</t>
  </si>
  <si>
    <t>238.0344109999991</t>
  </si>
  <si>
    <t>PartsArrive_30</t>
  </si>
  <si>
    <t>8760.0</t>
  </si>
  <si>
    <t>8924.503381999999</t>
  </si>
  <si>
    <t>164.50338199999938</t>
  </si>
  <si>
    <t>PartsArrive_31</t>
  </si>
  <si>
    <t>9060.0</t>
  </si>
  <si>
    <t>9228.565072</t>
  </si>
  <si>
    <t>168.5650720000005</t>
  </si>
  <si>
    <t>PartsArrive_32</t>
  </si>
  <si>
    <t>9360.0</t>
  </si>
  <si>
    <t>9645.028809</t>
  </si>
  <si>
    <t>285.0288090000001</t>
  </si>
  <si>
    <t>PartsArrive_33</t>
  </si>
  <si>
    <t>9660.0</t>
  </si>
  <si>
    <t>9871.894027</t>
  </si>
  <si>
    <t>211.89402700000043</t>
  </si>
  <si>
    <t>PartsArrive_34</t>
  </si>
  <si>
    <t>9960.0</t>
  </si>
  <si>
    <t>10203.74532</t>
  </si>
  <si>
    <t>243.7453200000007</t>
  </si>
  <si>
    <t>PartsArrive_35</t>
  </si>
  <si>
    <t>10260.0</t>
  </si>
  <si>
    <t>10585.396299</t>
  </si>
  <si>
    <t>325.39629900000105</t>
  </si>
  <si>
    <t>PartsArrive_36</t>
  </si>
  <si>
    <t>10560.0</t>
  </si>
  <si>
    <t>25.39629900000105</t>
  </si>
  <si>
    <t>10924.455766</t>
  </si>
  <si>
    <t>339.0594669999993</t>
  </si>
  <si>
    <t>PartsArrive_37</t>
  </si>
  <si>
    <t>10860.0</t>
  </si>
  <si>
    <t>64.455766</t>
  </si>
  <si>
    <t>11163.816510999999</t>
  </si>
  <si>
    <t>239.36074499999918</t>
  </si>
  <si>
    <t>PartsArrive_38</t>
  </si>
  <si>
    <t>11160.0</t>
  </si>
  <si>
    <t>3.816510999999308</t>
  </si>
  <si>
    <t>11505.025437999999</t>
  </si>
  <si>
    <t>341.2089269999996</t>
  </si>
  <si>
    <t>PartsArrive_39</t>
  </si>
  <si>
    <t>11460.0</t>
  </si>
  <si>
    <t>45.0254379999993</t>
  </si>
  <si>
    <t>11746.547160999999</t>
  </si>
  <si>
    <t>241.5217229999995</t>
  </si>
  <si>
    <t>PartsArrive_40</t>
  </si>
  <si>
    <t>11760.0</t>
  </si>
  <si>
    <t>12010.944806</t>
  </si>
  <si>
    <t>250.94480600000086</t>
  </si>
  <si>
    <t>PartsArrive_41</t>
  </si>
  <si>
    <t>12060.0</t>
  </si>
  <si>
    <t>12200.890754</t>
  </si>
  <si>
    <t>140.89075400000088</t>
  </si>
  <si>
    <t>PartsArrive_42</t>
  </si>
  <si>
    <t>12360.0</t>
  </si>
  <si>
    <t>12582.064062</t>
  </si>
  <si>
    <t>222.0640620000011</t>
  </si>
  <si>
    <t>PartsArrive_43</t>
  </si>
  <si>
    <t>12660.0</t>
  </si>
  <si>
    <t>12842.437854</t>
  </si>
  <si>
    <t>182.4378540000003</t>
  </si>
  <si>
    <t>PartsArrive_44</t>
  </si>
  <si>
    <t>12960.0</t>
  </si>
  <si>
    <t>13305.527236</t>
  </si>
  <si>
    <t>345.5272360000001</t>
  </si>
  <si>
    <t>PartsArrive_45</t>
  </si>
  <si>
    <t>13260.0</t>
  </si>
  <si>
    <t>45.5272360000001</t>
  </si>
  <si>
    <t>13436.371839</t>
  </si>
  <si>
    <t>130.8446029999998</t>
  </si>
  <si>
    <t>PartsArrive_46</t>
  </si>
  <si>
    <t>13560.0</t>
  </si>
  <si>
    <t>13706.532342999999</t>
  </si>
  <si>
    <t>146.53234299999925</t>
  </si>
  <si>
    <t>PartsArrive_47</t>
  </si>
  <si>
    <t>13860.0</t>
  </si>
  <si>
    <t>14094.43319</t>
  </si>
  <si>
    <t>234.4331900000011</t>
  </si>
  <si>
    <t>PartsArrive_48</t>
  </si>
  <si>
    <t>14160.0</t>
  </si>
  <si>
    <t>14371.907949999999</t>
  </si>
  <si>
    <t>211.90794999999914</t>
  </si>
  <si>
    <t>PartsArrive_49</t>
  </si>
  <si>
    <t>14460.0</t>
  </si>
  <si>
    <t>14710.676864999998</t>
  </si>
  <si>
    <t>250.6768649999984</t>
  </si>
  <si>
    <t>PartsArrive_50</t>
  </si>
  <si>
    <t>14760.0</t>
  </si>
  <si>
    <t>15014.644057000001</t>
  </si>
  <si>
    <t>254.64405700000086</t>
  </si>
  <si>
    <t>PartsArrive_51</t>
  </si>
  <si>
    <t>15060.0</t>
  </si>
  <si>
    <t>15274.170306999999</t>
  </si>
  <si>
    <t>214.17030699999914</t>
  </si>
  <si>
    <t>PartsArrive_52</t>
  </si>
  <si>
    <t>15360.0</t>
  </si>
  <si>
    <t>15676.558628</t>
  </si>
  <si>
    <t>316.5586280000003</t>
  </si>
  <si>
    <t>PartsArrive_53</t>
  </si>
  <si>
    <t>15660.0</t>
  </si>
  <si>
    <t>16.5586280000003</t>
  </si>
  <si>
    <t>15954.547856</t>
  </si>
  <si>
    <t>277.98922799999826</t>
  </si>
  <si>
    <t>PartsArrive_54</t>
  </si>
  <si>
    <t>15960.0</t>
  </si>
  <si>
    <t>16154.745663000002</t>
  </si>
  <si>
    <t>194.7456630000018</t>
  </si>
  <si>
    <t>PartsArrive_55</t>
  </si>
  <si>
    <t>16260.0</t>
  </si>
  <si>
    <t>16513.959039999998</t>
  </si>
  <si>
    <t>253.95903999999814</t>
  </si>
  <si>
    <t>PartsArrive_56</t>
  </si>
  <si>
    <t>16560.0</t>
  </si>
  <si>
    <t>16799.64757</t>
  </si>
  <si>
    <t>239.6475700000012</t>
  </si>
  <si>
    <t>PartsArrive_57</t>
  </si>
  <si>
    <t>16860.0</t>
  </si>
  <si>
    <t>17131.422023</t>
  </si>
  <si>
    <t>271.4220230000004</t>
  </si>
  <si>
    <t>PartsArrive_58</t>
  </si>
  <si>
    <t>17160.0</t>
  </si>
  <si>
    <t>17398.344585</t>
  </si>
  <si>
    <t>238.34458500000017</t>
  </si>
  <si>
    <t>PartsArrive_59</t>
  </si>
  <si>
    <t>17460.0</t>
  </si>
  <si>
    <t>17745.136651999997</t>
  </si>
  <si>
    <t>285.1366519999971</t>
  </si>
  <si>
    <t>PartsArrive_60</t>
  </si>
  <si>
    <t>17760.0</t>
  </si>
  <si>
    <t>18183.315587999998</t>
  </si>
  <si>
    <t>423.3155879999982</t>
  </si>
  <si>
    <t>PartsArrive_61</t>
  </si>
  <si>
    <t>18060.0</t>
  </si>
  <si>
    <t>123.3155879999982</t>
  </si>
  <si>
    <t>18370.902739999998</t>
  </si>
  <si>
    <t>187.5871519999998</t>
  </si>
  <si>
    <t>PartsArrive_62</t>
  </si>
  <si>
    <t>18360.0</t>
  </si>
  <si>
    <t>10.902739999997962</t>
  </si>
  <si>
    <t>18640.618827</t>
  </si>
  <si>
    <t>269.71608700000216</t>
  </si>
  <si>
    <t>PartsArrive_63</t>
  </si>
  <si>
    <t>18660.0</t>
  </si>
  <si>
    <t>18837.898716</t>
  </si>
  <si>
    <t>177.898715999999</t>
  </si>
  <si>
    <t>PartsArrive_64</t>
  </si>
  <si>
    <t>18960.0</t>
  </si>
  <si>
    <t>19227.080319</t>
  </si>
  <si>
    <t>267.0803190000011</t>
  </si>
  <si>
    <t>PartsArrive_65</t>
  </si>
  <si>
    <t>19260.0</t>
  </si>
  <si>
    <t>19477.005741999998</t>
  </si>
  <si>
    <t>217.0057419999983</t>
  </si>
  <si>
    <t>PartsArrive_66</t>
  </si>
  <si>
    <t>19560.0</t>
  </si>
  <si>
    <t>19740.000568</t>
  </si>
  <si>
    <t>180.00056800000108</t>
  </si>
  <si>
    <t>PartsArrive_67</t>
  </si>
  <si>
    <t>19860.0</t>
  </si>
  <si>
    <t>20104.626066</t>
  </si>
  <si>
    <t>244.62606600000105</t>
  </si>
  <si>
    <t>PartsArrive_68</t>
  </si>
  <si>
    <t>20160.0</t>
  </si>
  <si>
    <t>20415.07579</t>
  </si>
  <si>
    <t>255.075790000001</t>
  </si>
  <si>
    <t>PartsArrive_69</t>
  </si>
  <si>
    <t>20460.0</t>
  </si>
  <si>
    <t>20607.182192</t>
  </si>
  <si>
    <t>147.18219200000167</t>
  </si>
  <si>
    <t>PartsArrive_70</t>
  </si>
  <si>
    <t>20760.0</t>
  </si>
  <si>
    <t>21035.131880999998</t>
  </si>
  <si>
    <t>275.1318809999979</t>
  </si>
  <si>
    <t>PartsArrive_71</t>
  </si>
  <si>
    <t>21060.0</t>
  </si>
  <si>
    <t>21406.838542999998</t>
  </si>
  <si>
    <t>346.8385429999983</t>
  </si>
  <si>
    <t>PartsArrive_72</t>
  </si>
  <si>
    <t>21360.0</t>
  </si>
  <si>
    <t>46.8385429999983</t>
  </si>
  <si>
    <t>21708.95611</t>
  </si>
  <si>
    <t>302.1175670000026</t>
  </si>
  <si>
    <t>PartsArrive_73</t>
  </si>
  <si>
    <t>21660.0</t>
  </si>
  <si>
    <t>48.9561100000026</t>
  </si>
  <si>
    <t>21901.9912</t>
  </si>
  <si>
    <t>193.03508999999904</t>
  </si>
  <si>
    <t>PartsArrive_74</t>
  </si>
  <si>
    <t>21960.0</t>
  </si>
  <si>
    <t>22230.403555</t>
  </si>
  <si>
    <t>270.4035549999988</t>
  </si>
  <si>
    <t>PartsArrive_75</t>
  </si>
  <si>
    <t>22260.0</t>
  </si>
  <si>
    <t>22482.672797</t>
  </si>
  <si>
    <t>222.672796999999</t>
  </si>
  <si>
    <t>PartsArrive_76</t>
  </si>
  <si>
    <t>22560.0</t>
  </si>
  <si>
    <t>22771.775802</t>
  </si>
  <si>
    <t>211.77580199999916</t>
  </si>
  <si>
    <t>PartsArrive_77</t>
  </si>
  <si>
    <t>22860.0</t>
  </si>
  <si>
    <t>22969.308178</t>
  </si>
  <si>
    <t>109.3081780000001</t>
  </si>
  <si>
    <t>PartsArrive_78</t>
  </si>
  <si>
    <t>23160.0</t>
  </si>
  <si>
    <t>23343.303927999998</t>
  </si>
  <si>
    <t>183.3039279999982</t>
  </si>
  <si>
    <t>PartsArrive_79</t>
  </si>
  <si>
    <t>23460.0</t>
  </si>
  <si>
    <t>23571.367841</t>
  </si>
  <si>
    <t>111.36784100000095</t>
  </si>
  <si>
    <t>PartsArrive_80</t>
  </si>
  <si>
    <t>23760.0</t>
  </si>
  <si>
    <t>23951.988569999998</t>
  </si>
  <si>
    <t>191.9885699999984</t>
  </si>
  <si>
    <t>PartsArrive_81</t>
  </si>
  <si>
    <t>24060.0</t>
  </si>
  <si>
    <t>24292.869504</t>
  </si>
  <si>
    <t>232.86950400000084</t>
  </si>
  <si>
    <t>PartsArrive_82</t>
  </si>
  <si>
    <t>24360.0</t>
  </si>
  <si>
    <t>24673.164193</t>
  </si>
  <si>
    <t>313.164192999999</t>
  </si>
  <si>
    <t>PartsArrive_83</t>
  </si>
  <si>
    <t>24660.0</t>
  </si>
  <si>
    <t>13.164192999999</t>
  </si>
  <si>
    <t>24868.002694</t>
  </si>
  <si>
    <t>194.8385009999911</t>
  </si>
  <si>
    <t>PartsArrive_84</t>
  </si>
  <si>
    <t>24960.0</t>
  </si>
  <si>
    <t>25159.731682999998</t>
  </si>
  <si>
    <t>199.7316829999979</t>
  </si>
  <si>
    <t>PartsArrive_85</t>
  </si>
  <si>
    <t>25260.0</t>
  </si>
  <si>
    <t>25412.009473</t>
  </si>
  <si>
    <t>152.0094730000012</t>
  </si>
  <si>
    <t>PartsArrive_86</t>
  </si>
  <si>
    <t>25560.0</t>
  </si>
  <si>
    <t>25741.42948</t>
  </si>
  <si>
    <t>181.4294799999986</t>
  </si>
  <si>
    <t>PartsArrive_87</t>
  </si>
  <si>
    <t>25860.0</t>
  </si>
  <si>
    <t>26084.15929</t>
  </si>
  <si>
    <t>224.1592900000019</t>
  </si>
  <si>
    <t>PartsArrive_88</t>
  </si>
  <si>
    <t>26160.0</t>
  </si>
  <si>
    <t>26315.193466</t>
  </si>
  <si>
    <t>155.193466000001</t>
  </si>
  <si>
    <t>PartsArrive_89</t>
  </si>
  <si>
    <t>26460.0</t>
  </si>
  <si>
    <t>26582.335731</t>
  </si>
  <si>
    <t>122.33573100000108</t>
  </si>
  <si>
    <t>PartsArrive_90</t>
  </si>
  <si>
    <t>26760.0</t>
  </si>
  <si>
    <t>26923.47242</t>
  </si>
  <si>
    <t>163.4724199999997</t>
  </si>
  <si>
    <t>PartsArrive_91</t>
  </si>
  <si>
    <t>27060.0</t>
  </si>
  <si>
    <t>27332.435751999998</t>
  </si>
  <si>
    <t>272.4357519999983</t>
  </si>
  <si>
    <t>PartsArrive_92</t>
  </si>
  <si>
    <t>27360.0</t>
  </si>
  <si>
    <t>27605.164914999998</t>
  </si>
  <si>
    <t>245.1649149999983</t>
  </si>
  <si>
    <t>PartsArrive_93</t>
  </si>
  <si>
    <t>27660.0</t>
  </si>
  <si>
    <t>27863.038955</t>
  </si>
  <si>
    <t>203.0389550000003</t>
  </si>
  <si>
    <t>PartsArrive_94</t>
  </si>
  <si>
    <t>27960.0</t>
  </si>
  <si>
    <t>28142.417329</t>
  </si>
  <si>
    <t>182.41732900000086</t>
  </si>
  <si>
    <t>PartsArrive_95</t>
  </si>
  <si>
    <t>28260.0</t>
  </si>
  <si>
    <t>28546.445011</t>
  </si>
  <si>
    <t>286.4450110000017</t>
  </si>
  <si>
    <t>PartsArrive_96</t>
  </si>
  <si>
    <t>28560.0</t>
  </si>
  <si>
    <t>28770.783806</t>
  </si>
  <si>
    <t>210.7838060000003</t>
  </si>
  <si>
    <t>PartsArrive_97</t>
  </si>
  <si>
    <t>28860.0</t>
  </si>
  <si>
    <t>29000.450717999996</t>
  </si>
  <si>
    <t>140.4507179999963</t>
  </si>
  <si>
    <t>PartsArrive_98</t>
  </si>
  <si>
    <t>29160.0</t>
  </si>
  <si>
    <t>29480.342085999997</t>
  </si>
  <si>
    <t>320.34208599999745</t>
  </si>
  <si>
    <t>PartsArrive_99</t>
  </si>
  <si>
    <t>29460.0</t>
  </si>
  <si>
    <t>20.34208599999745</t>
  </si>
  <si>
    <t>29724.453109000002</t>
  </si>
  <si>
    <t>244.1110230000019</t>
  </si>
  <si>
    <t>PartsArrive_100</t>
  </si>
  <si>
    <t>29760.0</t>
  </si>
  <si>
    <t>30028.871668</t>
  </si>
  <si>
    <t>268.87166800000105</t>
  </si>
  <si>
    <t>PartsArrive_101</t>
  </si>
  <si>
    <t>30060.0</t>
  </si>
  <si>
    <t>30219.282944</t>
  </si>
  <si>
    <t>159.28294400000108</t>
  </si>
  <si>
    <t>PartsArrive_102</t>
  </si>
  <si>
    <t>30360.0</t>
  </si>
  <si>
    <t>30551.945699</t>
  </si>
  <si>
    <t>191.94569900000105</t>
  </si>
  <si>
    <t>PartsArrive_103</t>
  </si>
  <si>
    <t>30660.0</t>
  </si>
  <si>
    <t>30829.726287999994</t>
  </si>
  <si>
    <t>169.7262879999945</t>
  </si>
  <si>
    <t>PartsArrive_104</t>
  </si>
  <si>
    <t>30960.0</t>
  </si>
  <si>
    <t>31197.224233999998</t>
  </si>
  <si>
    <t>237.2242339999979</t>
  </si>
  <si>
    <t>PartsArrive_105</t>
  </si>
  <si>
    <t>31260.0</t>
  </si>
  <si>
    <t>31623.207132999996</t>
  </si>
  <si>
    <t>363.20713299999645</t>
  </si>
  <si>
    <t>PartsArrive_106</t>
  </si>
  <si>
    <t>31560.0</t>
  </si>
  <si>
    <t>63.20713299999645</t>
  </si>
  <si>
    <t>31967.937946</t>
  </si>
  <si>
    <t>344.7308130000006</t>
  </si>
  <si>
    <t>PartsArrive_107</t>
  </si>
  <si>
    <t>31860.0</t>
  </si>
  <si>
    <t>107.937946</t>
  </si>
  <si>
    <t>32316.278198000004</t>
  </si>
  <si>
    <t>348.3402520000018</t>
  </si>
  <si>
    <t>PartsArrive_108</t>
  </si>
  <si>
    <t>32160.0</t>
  </si>
  <si>
    <t>156.2781980000018</t>
  </si>
  <si>
    <t>32601.940567</t>
  </si>
  <si>
    <t>285.6623689999991</t>
  </si>
  <si>
    <t>PartsArrive_109</t>
  </si>
  <si>
    <t>32460.0</t>
  </si>
  <si>
    <t>141.940567</t>
  </si>
  <si>
    <t>32725.556554999996</t>
  </si>
  <si>
    <t>123.6159879999989</t>
  </si>
  <si>
    <t>PartsArrive_110</t>
  </si>
  <si>
    <t>32760.0</t>
  </si>
  <si>
    <t>32977.474954</t>
  </si>
  <si>
    <t>217.47495400000088</t>
  </si>
  <si>
    <t>PartsArrive_111</t>
  </si>
  <si>
    <t>33060.0</t>
  </si>
  <si>
    <t>33278.705252</t>
  </si>
  <si>
    <t>218.7052519999997</t>
  </si>
  <si>
    <t>PartsArrive_112</t>
  </si>
  <si>
    <t>33360.0</t>
  </si>
  <si>
    <t>33631.897156</t>
  </si>
  <si>
    <t>271.89715600000086</t>
  </si>
  <si>
    <t>PartsArrive_113</t>
  </si>
  <si>
    <t>33660.0</t>
  </si>
  <si>
    <t>33920.39716</t>
  </si>
  <si>
    <t>260.3971600000001</t>
  </si>
  <si>
    <t>PartsArrive_114</t>
  </si>
  <si>
    <t>33960.0</t>
  </si>
  <si>
    <t>34276.713528</t>
  </si>
  <si>
    <t>316.7135280000003</t>
  </si>
  <si>
    <t>PartsArrive_115</t>
  </si>
  <si>
    <t>34260.0</t>
  </si>
  <si>
    <t>16.7135280000003</t>
  </si>
  <si>
    <t>34562.052423</t>
  </si>
  <si>
    <t>285.3388949999993</t>
  </si>
  <si>
    <t>PartsArrive_116</t>
  </si>
  <si>
    <t>34560.0</t>
  </si>
  <si>
    <t>2.052422999999308</t>
  </si>
  <si>
    <t>34711.751425999995</t>
  </si>
  <si>
    <t>149.69900299999863</t>
  </si>
  <si>
    <t>PartsArrive_117</t>
  </si>
  <si>
    <t>34860.0</t>
  </si>
  <si>
    <t>35108.47805</t>
  </si>
  <si>
    <t>248.4780500000003</t>
  </si>
  <si>
    <t>PartsArrive_118</t>
  </si>
  <si>
    <t>35160.0</t>
  </si>
  <si>
    <t>35459.886051</t>
  </si>
  <si>
    <t>299.8860510000001</t>
  </si>
  <si>
    <t>PartsArrive_119</t>
  </si>
  <si>
    <t>35460.0</t>
  </si>
  <si>
    <t>35727.906105999995</t>
  </si>
  <si>
    <t>267.9061059999951</t>
  </si>
  <si>
    <t>PartsArrive_120</t>
  </si>
  <si>
    <t>35760.0</t>
  </si>
  <si>
    <t>36031.641470999995</t>
  </si>
  <si>
    <t>271.6414709999951</t>
  </si>
  <si>
    <t>PartsArrive_121</t>
  </si>
  <si>
    <t>36060.0</t>
  </si>
  <si>
    <t>36246.397542</t>
  </si>
  <si>
    <t>186.39754200000086</t>
  </si>
  <si>
    <t>PartsArrive_122</t>
  </si>
  <si>
    <t>36360.0</t>
  </si>
  <si>
    <t>36620.75948</t>
  </si>
  <si>
    <t>260.7594799999986</t>
  </si>
  <si>
    <t>PartsArrive_123</t>
  </si>
  <si>
    <t>36660.0</t>
  </si>
  <si>
    <t>36860.31272</t>
  </si>
  <si>
    <t>200.312719999999</t>
  </si>
  <si>
    <t>PartsArrive_124</t>
  </si>
  <si>
    <t>36960.0</t>
  </si>
  <si>
    <t>37205.709106999995</t>
  </si>
  <si>
    <t>245.7091069999951</t>
  </si>
  <si>
    <t>PartsArrive_125</t>
  </si>
  <si>
    <t>37260.0</t>
  </si>
  <si>
    <t>37580.442362</t>
  </si>
  <si>
    <t>320.4423620000001</t>
  </si>
  <si>
    <t>PartsArrive_126</t>
  </si>
  <si>
    <t>37560.0</t>
  </si>
  <si>
    <t>20.4423620000001</t>
  </si>
  <si>
    <t>37785.254872</t>
  </si>
  <si>
    <t>204.81251000000048</t>
  </si>
  <si>
    <t>PartsArrive_127</t>
  </si>
  <si>
    <t>37860.0</t>
  </si>
  <si>
    <t>38073.138133</t>
  </si>
  <si>
    <t>213.13813300000095</t>
  </si>
  <si>
    <t>PartsArrive_128</t>
  </si>
  <si>
    <t>38160.0</t>
  </si>
  <si>
    <t>38395.532873</t>
  </si>
  <si>
    <t>235.5328730000003</t>
  </si>
  <si>
    <t>PartsArrive_129</t>
  </si>
  <si>
    <t>38460.0</t>
  </si>
  <si>
    <t>38689.670423999996</t>
  </si>
  <si>
    <t>229.67042399999645</t>
  </si>
  <si>
    <t>PartsArrive_130</t>
  </si>
  <si>
    <t>38760.0</t>
  </si>
  <si>
    <t>38993.946154</t>
  </si>
  <si>
    <t>233.94615400000086</t>
  </si>
  <si>
    <t>PartsArrive_131</t>
  </si>
  <si>
    <t>39060.0</t>
  </si>
  <si>
    <t>39406.785486</t>
  </si>
  <si>
    <t>346.7854860000001</t>
  </si>
  <si>
    <t>PartsArrive_132</t>
  </si>
  <si>
    <t>39360.0</t>
  </si>
  <si>
    <t>46.7854860000001</t>
  </si>
  <si>
    <t>39705.742426</t>
  </si>
  <si>
    <t>298.956939999999</t>
  </si>
  <si>
    <t>PartsArrive_133</t>
  </si>
  <si>
    <t>39660.0</t>
  </si>
  <si>
    <t>45.742426</t>
  </si>
  <si>
    <t>39830.479901</t>
  </si>
  <si>
    <t>124.73747499999918</t>
  </si>
  <si>
    <t>PartsArrive_134</t>
  </si>
  <si>
    <t>39960.0</t>
  </si>
  <si>
    <t>40168.167824</t>
  </si>
  <si>
    <t>208.167823999999</t>
  </si>
  <si>
    <t>PartsArrive_135</t>
  </si>
  <si>
    <t>40260.0</t>
  </si>
  <si>
    <t>40458.298861999996</t>
  </si>
  <si>
    <t>198.29886199999645</t>
  </si>
  <si>
    <t>PartsArrive_136</t>
  </si>
  <si>
    <t>40560.0</t>
  </si>
  <si>
    <t>40776.262113</t>
  </si>
  <si>
    <t>216.2621130000001</t>
  </si>
  <si>
    <t>PartsArrive_137</t>
  </si>
  <si>
    <t>40860.0</t>
  </si>
  <si>
    <t>41049.074326999995</t>
  </si>
  <si>
    <t>189.0743269999951</t>
  </si>
  <si>
    <t>PartsArrive_138</t>
  </si>
  <si>
    <t>41160.0</t>
  </si>
  <si>
    <t>41419.176646</t>
  </si>
  <si>
    <t>259.17664600000105</t>
  </si>
  <si>
    <t>PartsArrive_139</t>
  </si>
  <si>
    <t>41460.0</t>
  </si>
  <si>
    <t>41641.310811999996</t>
  </si>
  <si>
    <t>181.31081199999645</t>
  </si>
  <si>
    <t>PartsArrive_140</t>
  </si>
  <si>
    <t>41760.0</t>
  </si>
  <si>
    <t>41941.727161999996</t>
  </si>
  <si>
    <t>181.72716199999645</t>
  </si>
  <si>
    <t>PartsArrive_141</t>
  </si>
  <si>
    <t>42060.0</t>
  </si>
  <si>
    <t>42287.115398999995</t>
  </si>
  <si>
    <t>227.1153989999951</t>
  </si>
  <si>
    <t>PartsArrive_142</t>
  </si>
  <si>
    <t>42360.0</t>
  </si>
  <si>
    <t>42684.767879</t>
  </si>
  <si>
    <t>324.7678790000001</t>
  </si>
  <si>
    <t>PartsArrive_143</t>
  </si>
  <si>
    <t>42660.0</t>
  </si>
  <si>
    <t>24.767879</t>
  </si>
  <si>
    <t>42903.922217</t>
  </si>
  <si>
    <t>219.154338</t>
  </si>
  <si>
    <t>PartsArrive_144</t>
  </si>
  <si>
    <t>42960.0</t>
  </si>
  <si>
    <t/>
  </si>
  <si>
    <t>Ini rata-rata proses tanpa menunggu</t>
  </si>
  <si>
    <t>L_q = lambda * W_q</t>
  </si>
  <si>
    <t>Highlight kuning untuk Task 1</t>
  </si>
  <si>
    <t>Highlight Hijau untuk Task 2</t>
  </si>
  <si>
    <t>Rata-rata proses + antre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</si>
</sst>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2.0"/>
      <color rgb="FF000000"/>
      <name val="'Times New Roman'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1" numFmtId="0" xfId="0" applyFill="1" applyFont="1"/>
    <xf borderId="0" fillId="3" fontId="1" numFmtId="0" xfId="0" applyFill="1" applyFont="1"/>
    <xf borderId="0" fillId="3" fontId="1" numFmtId="0" xfId="0" applyAlignment="1" applyFont="1">
      <alignment readingOrder="0"/>
    </xf>
    <xf borderId="0" fillId="2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1" t="s">
        <v>8</v>
      </c>
      <c r="B2" s="1" t="s">
        <v>9</v>
      </c>
      <c r="C2" s="1" t="s">
        <v>10</v>
      </c>
      <c r="D2" s="1" t="s">
        <v>9</v>
      </c>
      <c r="E2" s="1" t="s">
        <v>10</v>
      </c>
      <c r="F2" s="1" t="s">
        <v>11</v>
      </c>
      <c r="G2" s="1" t="s">
        <v>12</v>
      </c>
      <c r="H2" s="1">
        <v>4.734392183333333</v>
      </c>
    </row>
    <row r="3">
      <c r="A3" s="1" t="s">
        <v>13</v>
      </c>
      <c r="B3" s="1" t="s">
        <v>14</v>
      </c>
      <c r="C3" s="1" t="s">
        <v>11</v>
      </c>
      <c r="D3" s="1" t="s">
        <v>14</v>
      </c>
      <c r="E3" s="1" t="s">
        <v>10</v>
      </c>
      <c r="F3" s="1" t="s">
        <v>15</v>
      </c>
      <c r="G3" s="1" t="s">
        <v>16</v>
      </c>
      <c r="H3" s="1">
        <v>3.6730802666666666</v>
      </c>
    </row>
    <row r="4">
      <c r="A4" s="1" t="s">
        <v>17</v>
      </c>
      <c r="B4" s="1" t="s">
        <v>18</v>
      </c>
      <c r="C4" s="1" t="s">
        <v>15</v>
      </c>
      <c r="D4" s="1" t="s">
        <v>18</v>
      </c>
      <c r="E4" s="1" t="s">
        <v>10</v>
      </c>
      <c r="F4" s="1" t="s">
        <v>19</v>
      </c>
      <c r="G4" s="1" t="s">
        <v>20</v>
      </c>
      <c r="H4" s="1">
        <v>3.7873630333333335</v>
      </c>
    </row>
    <row r="5">
      <c r="A5" s="1" t="s">
        <v>21</v>
      </c>
      <c r="B5" s="1" t="s">
        <v>22</v>
      </c>
      <c r="C5" s="1" t="s">
        <v>19</v>
      </c>
      <c r="D5" s="1" t="s">
        <v>22</v>
      </c>
      <c r="E5" s="1" t="s">
        <v>10</v>
      </c>
      <c r="F5" s="1" t="s">
        <v>23</v>
      </c>
      <c r="G5" s="1" t="s">
        <v>24</v>
      </c>
      <c r="H5" s="1">
        <v>3.872007566666667</v>
      </c>
    </row>
    <row r="6">
      <c r="A6" s="1" t="s">
        <v>25</v>
      </c>
      <c r="B6" s="1" t="s">
        <v>26</v>
      </c>
      <c r="C6" s="1" t="s">
        <v>23</v>
      </c>
      <c r="D6" s="1" t="s">
        <v>26</v>
      </c>
      <c r="E6" s="1" t="s">
        <v>10</v>
      </c>
      <c r="F6" s="1" t="s">
        <v>27</v>
      </c>
      <c r="G6" s="1" t="s">
        <v>28</v>
      </c>
      <c r="H6" s="1">
        <v>2.484196633333333</v>
      </c>
    </row>
    <row r="7">
      <c r="A7" s="1" t="s">
        <v>29</v>
      </c>
      <c r="B7" s="1" t="s">
        <v>30</v>
      </c>
      <c r="C7" s="1" t="s">
        <v>27</v>
      </c>
      <c r="D7" s="1" t="s">
        <v>30</v>
      </c>
      <c r="E7" s="1" t="s">
        <v>10</v>
      </c>
      <c r="F7" s="1" t="s">
        <v>31</v>
      </c>
      <c r="G7" s="1" t="s">
        <v>32</v>
      </c>
      <c r="H7" s="1">
        <v>3.444564966666667</v>
      </c>
    </row>
    <row r="8">
      <c r="A8" s="1" t="s">
        <v>33</v>
      </c>
      <c r="B8" s="1" t="s">
        <v>34</v>
      </c>
      <c r="C8" s="1" t="s">
        <v>31</v>
      </c>
      <c r="D8" s="1" t="s">
        <v>34</v>
      </c>
      <c r="E8" s="1" t="s">
        <v>10</v>
      </c>
      <c r="F8" s="1" t="s">
        <v>35</v>
      </c>
      <c r="G8" s="1" t="s">
        <v>36</v>
      </c>
      <c r="H8" s="1">
        <v>4.12559695</v>
      </c>
    </row>
    <row r="9">
      <c r="A9" s="1" t="s">
        <v>37</v>
      </c>
      <c r="B9" s="1" t="s">
        <v>38</v>
      </c>
      <c r="C9" s="1" t="s">
        <v>35</v>
      </c>
      <c r="D9" s="1" t="s">
        <v>38</v>
      </c>
      <c r="E9" s="1" t="s">
        <v>10</v>
      </c>
      <c r="F9" s="1" t="s">
        <v>39</v>
      </c>
      <c r="G9" s="1" t="s">
        <v>40</v>
      </c>
      <c r="H9" s="1">
        <v>5.4682616500000005</v>
      </c>
    </row>
    <row r="10">
      <c r="A10" s="1" t="s">
        <v>41</v>
      </c>
      <c r="B10" s="1" t="s">
        <v>42</v>
      </c>
      <c r="C10" s="1" t="s">
        <v>39</v>
      </c>
      <c r="D10" s="1" t="s">
        <v>39</v>
      </c>
      <c r="E10" s="1" t="s">
        <v>43</v>
      </c>
      <c r="F10" s="1" t="s">
        <v>44</v>
      </c>
      <c r="G10" s="1" t="s">
        <v>45</v>
      </c>
      <c r="H10" s="1">
        <v>3.272654183333333</v>
      </c>
    </row>
    <row r="11">
      <c r="A11" s="1" t="s">
        <v>46</v>
      </c>
      <c r="B11" s="1" t="s">
        <v>47</v>
      </c>
      <c r="C11" s="1" t="s">
        <v>44</v>
      </c>
      <c r="D11" s="1" t="s">
        <v>47</v>
      </c>
      <c r="E11" s="1" t="s">
        <v>10</v>
      </c>
      <c r="F11" s="1" t="s">
        <v>48</v>
      </c>
      <c r="G11" s="1" t="s">
        <v>49</v>
      </c>
      <c r="H11" s="1">
        <v>4.200126466666666</v>
      </c>
    </row>
    <row r="12">
      <c r="A12" s="1" t="s">
        <v>50</v>
      </c>
      <c r="B12" s="1" t="s">
        <v>51</v>
      </c>
      <c r="C12" s="1" t="s">
        <v>48</v>
      </c>
      <c r="D12" s="1" t="s">
        <v>51</v>
      </c>
      <c r="E12" s="1" t="s">
        <v>10</v>
      </c>
      <c r="F12" s="1" t="s">
        <v>52</v>
      </c>
      <c r="G12" s="1" t="s">
        <v>53</v>
      </c>
      <c r="H12" s="1">
        <v>3.7784413666666667</v>
      </c>
    </row>
    <row r="13">
      <c r="A13" s="1" t="s">
        <v>54</v>
      </c>
      <c r="B13" s="1" t="s">
        <v>55</v>
      </c>
      <c r="C13" s="1" t="s">
        <v>52</v>
      </c>
      <c r="D13" s="1" t="s">
        <v>55</v>
      </c>
      <c r="E13" s="1" t="s">
        <v>10</v>
      </c>
      <c r="F13" s="1" t="s">
        <v>56</v>
      </c>
      <c r="G13" s="1" t="s">
        <v>57</v>
      </c>
      <c r="H13" s="1">
        <v>4.930611783333333</v>
      </c>
    </row>
    <row r="14">
      <c r="A14" s="1" t="s">
        <v>58</v>
      </c>
      <c r="B14" s="1" t="s">
        <v>59</v>
      </c>
      <c r="C14" s="1" t="s">
        <v>56</v>
      </c>
      <c r="D14" s="1" t="s">
        <v>59</v>
      </c>
      <c r="E14" s="1" t="s">
        <v>10</v>
      </c>
      <c r="F14" s="1" t="s">
        <v>60</v>
      </c>
      <c r="G14" s="1" t="s">
        <v>61</v>
      </c>
      <c r="H14" s="1">
        <v>3.8746581999999834</v>
      </c>
    </row>
    <row r="15">
      <c r="A15" s="1" t="s">
        <v>62</v>
      </c>
      <c r="B15" s="1" t="s">
        <v>63</v>
      </c>
      <c r="C15" s="1" t="s">
        <v>60</v>
      </c>
      <c r="D15" s="1" t="s">
        <v>63</v>
      </c>
      <c r="E15" s="1" t="s">
        <v>10</v>
      </c>
      <c r="F15" s="1" t="s">
        <v>64</v>
      </c>
      <c r="G15" s="1" t="s">
        <v>65</v>
      </c>
      <c r="H15" s="1">
        <v>2.62473686666665</v>
      </c>
    </row>
    <row r="16">
      <c r="A16" s="1" t="s">
        <v>66</v>
      </c>
      <c r="B16" s="1" t="s">
        <v>67</v>
      </c>
      <c r="C16" s="1" t="s">
        <v>64</v>
      </c>
      <c r="D16" s="1" t="s">
        <v>67</v>
      </c>
      <c r="E16" s="1" t="s">
        <v>10</v>
      </c>
      <c r="F16" s="1" t="s">
        <v>68</v>
      </c>
      <c r="G16" s="1" t="s">
        <v>69</v>
      </c>
      <c r="H16" s="1">
        <v>3.7376196999999833</v>
      </c>
    </row>
    <row r="17">
      <c r="A17" s="1" t="s">
        <v>70</v>
      </c>
      <c r="B17" s="1" t="s">
        <v>71</v>
      </c>
      <c r="C17" s="1" t="s">
        <v>68</v>
      </c>
      <c r="D17" s="1" t="s">
        <v>71</v>
      </c>
      <c r="E17" s="1" t="s">
        <v>10</v>
      </c>
      <c r="F17" s="1" t="s">
        <v>72</v>
      </c>
      <c r="G17" s="1" t="s">
        <v>73</v>
      </c>
      <c r="H17" s="1">
        <v>3.7976683833333333</v>
      </c>
    </row>
    <row r="18">
      <c r="A18" s="1" t="s">
        <v>74</v>
      </c>
      <c r="B18" s="1" t="s">
        <v>75</v>
      </c>
      <c r="C18" s="1" t="s">
        <v>72</v>
      </c>
      <c r="D18" s="1" t="s">
        <v>75</v>
      </c>
      <c r="E18" s="1" t="s">
        <v>10</v>
      </c>
      <c r="F18" s="1" t="s">
        <v>76</v>
      </c>
      <c r="G18" s="1" t="s">
        <v>77</v>
      </c>
      <c r="H18" s="1">
        <v>3.84247676666665</v>
      </c>
    </row>
    <row r="19">
      <c r="A19" s="1" t="s">
        <v>78</v>
      </c>
      <c r="B19" s="1" t="s">
        <v>79</v>
      </c>
      <c r="C19" s="1" t="s">
        <v>76</v>
      </c>
      <c r="D19" s="1" t="s">
        <v>79</v>
      </c>
      <c r="E19" s="1" t="s">
        <v>10</v>
      </c>
      <c r="F19" s="1" t="s">
        <v>80</v>
      </c>
      <c r="G19" s="1" t="s">
        <v>81</v>
      </c>
      <c r="H19" s="1">
        <v>4.908861299999983</v>
      </c>
    </row>
    <row r="20">
      <c r="A20" s="1" t="s">
        <v>82</v>
      </c>
      <c r="B20" s="1" t="s">
        <v>83</v>
      </c>
      <c r="C20" s="1" t="s">
        <v>80</v>
      </c>
      <c r="D20" s="1" t="s">
        <v>83</v>
      </c>
      <c r="E20" s="1" t="s">
        <v>10</v>
      </c>
      <c r="F20" s="1" t="s">
        <v>84</v>
      </c>
      <c r="G20" s="1" t="s">
        <v>85</v>
      </c>
      <c r="H20" s="1">
        <v>2.92205161666665</v>
      </c>
    </row>
    <row r="21">
      <c r="A21" s="1" t="s">
        <v>86</v>
      </c>
      <c r="B21" s="1" t="s">
        <v>87</v>
      </c>
      <c r="C21" s="1" t="s">
        <v>84</v>
      </c>
      <c r="D21" s="1" t="s">
        <v>87</v>
      </c>
      <c r="E21" s="1" t="s">
        <v>10</v>
      </c>
      <c r="F21" s="1" t="s">
        <v>88</v>
      </c>
      <c r="G21" s="1" t="s">
        <v>89</v>
      </c>
      <c r="H21" s="1">
        <v>5.861180266666667</v>
      </c>
    </row>
    <row r="22">
      <c r="A22" s="1" t="s">
        <v>90</v>
      </c>
      <c r="B22" s="1" t="s">
        <v>91</v>
      </c>
      <c r="C22" s="1" t="s">
        <v>88</v>
      </c>
      <c r="D22" s="1" t="s">
        <v>88</v>
      </c>
      <c r="E22" s="1" t="s">
        <v>92</v>
      </c>
      <c r="F22" s="1" t="s">
        <v>93</v>
      </c>
      <c r="G22" s="1" t="s">
        <v>94</v>
      </c>
      <c r="H22" s="1">
        <v>6.200490583333317</v>
      </c>
    </row>
    <row r="23">
      <c r="A23" s="1" t="s">
        <v>95</v>
      </c>
      <c r="B23" s="1" t="s">
        <v>96</v>
      </c>
      <c r="C23" s="1" t="s">
        <v>93</v>
      </c>
      <c r="D23" s="1" t="s">
        <v>93</v>
      </c>
      <c r="E23" s="1" t="s">
        <v>97</v>
      </c>
      <c r="F23" s="1" t="s">
        <v>98</v>
      </c>
      <c r="G23" s="1" t="s">
        <v>99</v>
      </c>
      <c r="H23" s="1">
        <v>4.5719588</v>
      </c>
    </row>
    <row r="24">
      <c r="A24" s="1" t="s">
        <v>100</v>
      </c>
      <c r="B24" s="1" t="s">
        <v>101</v>
      </c>
      <c r="C24" s="1" t="s">
        <v>98</v>
      </c>
      <c r="D24" s="1" t="s">
        <v>98</v>
      </c>
      <c r="E24" s="1" t="s">
        <v>102</v>
      </c>
      <c r="F24" s="1" t="s">
        <v>103</v>
      </c>
      <c r="G24" s="1" t="s">
        <v>104</v>
      </c>
      <c r="H24" s="1">
        <v>1.6317973666666519</v>
      </c>
    </row>
    <row r="25">
      <c r="A25" s="1" t="s">
        <v>105</v>
      </c>
      <c r="B25" s="1" t="s">
        <v>106</v>
      </c>
      <c r="C25" s="1" t="s">
        <v>103</v>
      </c>
      <c r="D25" s="1" t="s">
        <v>106</v>
      </c>
      <c r="E25" s="1" t="s">
        <v>10</v>
      </c>
      <c r="F25" s="1" t="s">
        <v>107</v>
      </c>
      <c r="G25" s="1" t="s">
        <v>108</v>
      </c>
      <c r="H25" s="1">
        <v>4.526845533333333</v>
      </c>
    </row>
    <row r="26">
      <c r="A26" s="1" t="s">
        <v>109</v>
      </c>
      <c r="B26" s="1" t="s">
        <v>110</v>
      </c>
      <c r="C26" s="1" t="s">
        <v>107</v>
      </c>
      <c r="D26" s="1" t="s">
        <v>110</v>
      </c>
      <c r="E26" s="1" t="s">
        <v>10</v>
      </c>
      <c r="F26" s="1" t="s">
        <v>111</v>
      </c>
      <c r="G26" s="1" t="s">
        <v>112</v>
      </c>
      <c r="H26" s="1">
        <v>3.2772963333333167</v>
      </c>
    </row>
    <row r="27">
      <c r="A27" s="1" t="s">
        <v>113</v>
      </c>
      <c r="B27" s="1" t="s">
        <v>114</v>
      </c>
      <c r="C27" s="1" t="s">
        <v>111</v>
      </c>
      <c r="D27" s="1" t="s">
        <v>114</v>
      </c>
      <c r="E27" s="1" t="s">
        <v>10</v>
      </c>
      <c r="F27" s="1" t="s">
        <v>115</v>
      </c>
      <c r="G27" s="1" t="s">
        <v>116</v>
      </c>
      <c r="H27" s="1">
        <v>5.273432383333333</v>
      </c>
    </row>
    <row r="28">
      <c r="A28" s="1" t="s">
        <v>117</v>
      </c>
      <c r="B28" s="1" t="s">
        <v>118</v>
      </c>
      <c r="C28" s="1" t="s">
        <v>115</v>
      </c>
      <c r="D28" s="1" t="s">
        <v>115</v>
      </c>
      <c r="E28" s="1" t="s">
        <v>119</v>
      </c>
      <c r="F28" s="1" t="s">
        <v>120</v>
      </c>
      <c r="G28" s="1" t="s">
        <v>121</v>
      </c>
      <c r="H28" s="1">
        <v>3.7587537999999836</v>
      </c>
    </row>
    <row r="29">
      <c r="A29" s="1" t="s">
        <v>122</v>
      </c>
      <c r="B29" s="1" t="s">
        <v>123</v>
      </c>
      <c r="C29" s="1" t="s">
        <v>120</v>
      </c>
      <c r="D29" s="1" t="s">
        <v>123</v>
      </c>
      <c r="E29" s="1" t="s">
        <v>10</v>
      </c>
      <c r="F29" s="1" t="s">
        <v>124</v>
      </c>
      <c r="G29" s="1" t="s">
        <v>125</v>
      </c>
      <c r="H29" s="1">
        <v>4.648985383333334</v>
      </c>
    </row>
    <row r="30">
      <c r="A30" s="1" t="s">
        <v>126</v>
      </c>
      <c r="B30" s="1" t="s">
        <v>127</v>
      </c>
      <c r="C30" s="1" t="s">
        <v>124</v>
      </c>
      <c r="D30" s="1" t="s">
        <v>127</v>
      </c>
      <c r="E30" s="1" t="s">
        <v>10</v>
      </c>
      <c r="F30" s="1" t="s">
        <v>128</v>
      </c>
      <c r="G30" s="1" t="s">
        <v>129</v>
      </c>
      <c r="H30" s="1">
        <v>3.967240183333317</v>
      </c>
    </row>
    <row r="31">
      <c r="A31" s="1" t="s">
        <v>130</v>
      </c>
      <c r="B31" s="1" t="s">
        <v>131</v>
      </c>
      <c r="C31" s="1" t="s">
        <v>128</v>
      </c>
      <c r="D31" s="1" t="s">
        <v>131</v>
      </c>
      <c r="E31" s="1" t="s">
        <v>10</v>
      </c>
      <c r="F31" s="1" t="s">
        <v>132</v>
      </c>
      <c r="G31" s="1" t="s">
        <v>133</v>
      </c>
      <c r="H31" s="1">
        <v>2.7417230333333165</v>
      </c>
    </row>
    <row r="32">
      <c r="A32" s="1" t="s">
        <v>134</v>
      </c>
      <c r="B32" s="1" t="s">
        <v>135</v>
      </c>
      <c r="C32" s="1" t="s">
        <v>132</v>
      </c>
      <c r="D32" s="1" t="s">
        <v>135</v>
      </c>
      <c r="E32" s="1" t="s">
        <v>10</v>
      </c>
      <c r="F32" s="1" t="s">
        <v>136</v>
      </c>
      <c r="G32" s="1" t="s">
        <v>137</v>
      </c>
      <c r="H32" s="1">
        <v>2.8094178666666663</v>
      </c>
    </row>
    <row r="33">
      <c r="A33" s="1" t="s">
        <v>138</v>
      </c>
      <c r="B33" s="1" t="s">
        <v>139</v>
      </c>
      <c r="C33" s="1" t="s">
        <v>136</v>
      </c>
      <c r="D33" s="1" t="s">
        <v>139</v>
      </c>
      <c r="E33" s="1" t="s">
        <v>10</v>
      </c>
      <c r="F33" s="1" t="s">
        <v>140</v>
      </c>
      <c r="G33" s="1" t="s">
        <v>141</v>
      </c>
      <c r="H33" s="1">
        <v>4.7504801500000005</v>
      </c>
    </row>
    <row r="34">
      <c r="A34" s="1" t="s">
        <v>142</v>
      </c>
      <c r="B34" s="1" t="s">
        <v>143</v>
      </c>
      <c r="C34" s="1" t="s">
        <v>140</v>
      </c>
      <c r="D34" s="1" t="s">
        <v>143</v>
      </c>
      <c r="E34" s="1" t="s">
        <v>10</v>
      </c>
      <c r="F34" s="1" t="s">
        <v>144</v>
      </c>
      <c r="G34" s="1" t="s">
        <v>145</v>
      </c>
      <c r="H34" s="1">
        <v>3.5315671166666665</v>
      </c>
    </row>
    <row r="35">
      <c r="A35" s="1" t="s">
        <v>146</v>
      </c>
      <c r="B35" s="1" t="s">
        <v>147</v>
      </c>
      <c r="C35" s="1" t="s">
        <v>144</v>
      </c>
      <c r="D35" s="1" t="s">
        <v>147</v>
      </c>
      <c r="E35" s="1" t="s">
        <v>10</v>
      </c>
      <c r="F35" s="1" t="s">
        <v>148</v>
      </c>
      <c r="G35" s="1" t="s">
        <v>149</v>
      </c>
      <c r="H35" s="1">
        <v>4.062422</v>
      </c>
    </row>
    <row r="36">
      <c r="A36" s="1" t="s">
        <v>150</v>
      </c>
      <c r="B36" s="1" t="s">
        <v>151</v>
      </c>
      <c r="C36" s="1" t="s">
        <v>148</v>
      </c>
      <c r="D36" s="1" t="s">
        <v>151</v>
      </c>
      <c r="E36" s="1" t="s">
        <v>10</v>
      </c>
      <c r="F36" s="1" t="s">
        <v>152</v>
      </c>
      <c r="G36" s="1" t="s">
        <v>153</v>
      </c>
      <c r="H36" s="1">
        <v>5.423271650000017</v>
      </c>
    </row>
    <row r="37">
      <c r="A37" s="1" t="s">
        <v>154</v>
      </c>
      <c r="B37" s="1" t="s">
        <v>155</v>
      </c>
      <c r="C37" s="1" t="s">
        <v>152</v>
      </c>
      <c r="D37" s="1" t="s">
        <v>152</v>
      </c>
      <c r="E37" s="1" t="s">
        <v>156</v>
      </c>
      <c r="F37" s="1" t="s">
        <v>157</v>
      </c>
      <c r="G37" s="1" t="s">
        <v>158</v>
      </c>
      <c r="H37" s="1">
        <v>5.65099111666665</v>
      </c>
    </row>
    <row r="38">
      <c r="A38" s="1" t="s">
        <v>159</v>
      </c>
      <c r="B38" s="1" t="s">
        <v>160</v>
      </c>
      <c r="C38" s="1" t="s">
        <v>157</v>
      </c>
      <c r="D38" s="1" t="s">
        <v>157</v>
      </c>
      <c r="E38" s="1" t="s">
        <v>161</v>
      </c>
      <c r="F38" s="1" t="s">
        <v>162</v>
      </c>
      <c r="G38" s="1" t="s">
        <v>163</v>
      </c>
      <c r="H38" s="1">
        <v>3.9893457499999836</v>
      </c>
    </row>
    <row r="39">
      <c r="A39" s="1" t="s">
        <v>164</v>
      </c>
      <c r="B39" s="1" t="s">
        <v>165</v>
      </c>
      <c r="C39" s="1" t="s">
        <v>162</v>
      </c>
      <c r="D39" s="1" t="s">
        <v>162</v>
      </c>
      <c r="E39" s="1" t="s">
        <v>166</v>
      </c>
      <c r="F39" s="1" t="s">
        <v>167</v>
      </c>
      <c r="G39" s="1" t="s">
        <v>168</v>
      </c>
      <c r="H39" s="1">
        <v>5.686815449999983</v>
      </c>
    </row>
    <row r="40">
      <c r="A40" s="1" t="s">
        <v>169</v>
      </c>
      <c r="B40" s="1" t="s">
        <v>170</v>
      </c>
      <c r="C40" s="1" t="s">
        <v>167</v>
      </c>
      <c r="D40" s="1" t="s">
        <v>167</v>
      </c>
      <c r="E40" s="1" t="s">
        <v>171</v>
      </c>
      <c r="F40" s="1" t="s">
        <v>172</v>
      </c>
      <c r="G40" s="1" t="s">
        <v>173</v>
      </c>
      <c r="H40" s="1">
        <v>4.025362049999983</v>
      </c>
    </row>
    <row r="41">
      <c r="A41" s="1" t="s">
        <v>174</v>
      </c>
      <c r="B41" s="1" t="s">
        <v>175</v>
      </c>
      <c r="C41" s="1" t="s">
        <v>172</v>
      </c>
      <c r="D41" s="1" t="s">
        <v>175</v>
      </c>
      <c r="E41" s="1" t="s">
        <v>10</v>
      </c>
      <c r="F41" s="1" t="s">
        <v>176</v>
      </c>
      <c r="G41" s="1" t="s">
        <v>177</v>
      </c>
      <c r="H41" s="1">
        <v>4.182413433333333</v>
      </c>
    </row>
    <row r="42">
      <c r="A42" s="1" t="s">
        <v>178</v>
      </c>
      <c r="B42" s="1" t="s">
        <v>179</v>
      </c>
      <c r="C42" s="1" t="s">
        <v>176</v>
      </c>
      <c r="D42" s="1" t="s">
        <v>179</v>
      </c>
      <c r="E42" s="1" t="s">
        <v>10</v>
      </c>
      <c r="F42" s="1" t="s">
        <v>180</v>
      </c>
      <c r="G42" s="1" t="s">
        <v>181</v>
      </c>
      <c r="H42" s="1">
        <v>2.348179233333333</v>
      </c>
    </row>
    <row r="43">
      <c r="A43" s="1" t="s">
        <v>182</v>
      </c>
      <c r="B43" s="1" t="s">
        <v>183</v>
      </c>
      <c r="C43" s="1" t="s">
        <v>180</v>
      </c>
      <c r="D43" s="1" t="s">
        <v>183</v>
      </c>
      <c r="E43" s="1" t="s">
        <v>10</v>
      </c>
      <c r="F43" s="1" t="s">
        <v>184</v>
      </c>
      <c r="G43" s="1" t="s">
        <v>185</v>
      </c>
      <c r="H43" s="1">
        <v>3.7010677000000167</v>
      </c>
    </row>
    <row r="44">
      <c r="A44" s="1" t="s">
        <v>186</v>
      </c>
      <c r="B44" s="1" t="s">
        <v>187</v>
      </c>
      <c r="C44" s="1" t="s">
        <v>184</v>
      </c>
      <c r="D44" s="1" t="s">
        <v>187</v>
      </c>
      <c r="E44" s="1" t="s">
        <v>10</v>
      </c>
      <c r="F44" s="1" t="s">
        <v>188</v>
      </c>
      <c r="G44" s="1" t="s">
        <v>189</v>
      </c>
      <c r="H44" s="1">
        <v>3.0406308999999996</v>
      </c>
    </row>
    <row r="45">
      <c r="A45" s="1" t="s">
        <v>190</v>
      </c>
      <c r="B45" s="1" t="s">
        <v>191</v>
      </c>
      <c r="C45" s="1" t="s">
        <v>188</v>
      </c>
      <c r="D45" s="1" t="s">
        <v>191</v>
      </c>
      <c r="E45" s="1" t="s">
        <v>10</v>
      </c>
      <c r="F45" s="1" t="s">
        <v>192</v>
      </c>
      <c r="G45" s="1" t="s">
        <v>193</v>
      </c>
      <c r="H45" s="1">
        <v>5.758787266666667</v>
      </c>
    </row>
    <row r="46">
      <c r="A46" s="1" t="s">
        <v>194</v>
      </c>
      <c r="B46" s="1" t="s">
        <v>195</v>
      </c>
      <c r="C46" s="1" t="s">
        <v>192</v>
      </c>
      <c r="D46" s="1" t="s">
        <v>192</v>
      </c>
      <c r="E46" s="1" t="s">
        <v>196</v>
      </c>
      <c r="F46" s="1" t="s">
        <v>197</v>
      </c>
      <c r="G46" s="1" t="s">
        <v>198</v>
      </c>
      <c r="H46" s="1">
        <v>2.1807433833333167</v>
      </c>
    </row>
    <row r="47">
      <c r="A47" s="1" t="s">
        <v>199</v>
      </c>
      <c r="B47" s="1" t="s">
        <v>200</v>
      </c>
      <c r="C47" s="1" t="s">
        <v>197</v>
      </c>
      <c r="D47" s="1" t="s">
        <v>200</v>
      </c>
      <c r="E47" s="1" t="s">
        <v>10</v>
      </c>
      <c r="F47" s="1" t="s">
        <v>201</v>
      </c>
      <c r="G47" s="1" t="s">
        <v>202</v>
      </c>
      <c r="H47" s="1">
        <v>2.44220571666665</v>
      </c>
    </row>
    <row r="48">
      <c r="A48" s="1" t="s">
        <v>203</v>
      </c>
      <c r="B48" s="1" t="s">
        <v>204</v>
      </c>
      <c r="C48" s="1" t="s">
        <v>201</v>
      </c>
      <c r="D48" s="1" t="s">
        <v>204</v>
      </c>
      <c r="E48" s="1" t="s">
        <v>10</v>
      </c>
      <c r="F48" s="1" t="s">
        <v>205</v>
      </c>
      <c r="G48" s="1" t="s">
        <v>206</v>
      </c>
      <c r="H48" s="1">
        <v>3.90721983333335</v>
      </c>
    </row>
    <row r="49">
      <c r="A49" s="1" t="s">
        <v>207</v>
      </c>
      <c r="B49" s="1" t="s">
        <v>208</v>
      </c>
      <c r="C49" s="1" t="s">
        <v>205</v>
      </c>
      <c r="D49" s="1" t="s">
        <v>208</v>
      </c>
      <c r="E49" s="1" t="s">
        <v>10</v>
      </c>
      <c r="F49" s="1" t="s">
        <v>209</v>
      </c>
      <c r="G49" s="1" t="s">
        <v>210</v>
      </c>
      <c r="H49" s="1">
        <v>3.53179916666665</v>
      </c>
    </row>
    <row r="50">
      <c r="A50" s="1" t="s">
        <v>211</v>
      </c>
      <c r="B50" s="1" t="s">
        <v>212</v>
      </c>
      <c r="C50" s="1" t="s">
        <v>209</v>
      </c>
      <c r="D50" s="1" t="s">
        <v>212</v>
      </c>
      <c r="E50" s="1" t="s">
        <v>10</v>
      </c>
      <c r="F50" s="1" t="s">
        <v>213</v>
      </c>
      <c r="G50" s="1" t="s">
        <v>214</v>
      </c>
      <c r="H50" s="1">
        <v>4.177947749999967</v>
      </c>
    </row>
    <row r="51">
      <c r="A51" s="1" t="s">
        <v>215</v>
      </c>
      <c r="B51" s="1" t="s">
        <v>216</v>
      </c>
      <c r="C51" s="1" t="s">
        <v>213</v>
      </c>
      <c r="D51" s="1" t="s">
        <v>216</v>
      </c>
      <c r="E51" s="1" t="s">
        <v>10</v>
      </c>
      <c r="F51" s="1" t="s">
        <v>217</v>
      </c>
      <c r="G51" s="1" t="s">
        <v>218</v>
      </c>
      <c r="H51" s="1">
        <v>4.244067616666666</v>
      </c>
    </row>
    <row r="52">
      <c r="A52" s="1" t="s">
        <v>219</v>
      </c>
      <c r="B52" s="1" t="s">
        <v>220</v>
      </c>
      <c r="C52" s="1" t="s">
        <v>217</v>
      </c>
      <c r="D52" s="1" t="s">
        <v>220</v>
      </c>
      <c r="E52" s="1" t="s">
        <v>10</v>
      </c>
      <c r="F52" s="1" t="s">
        <v>221</v>
      </c>
      <c r="G52" s="1" t="s">
        <v>222</v>
      </c>
      <c r="H52" s="1">
        <v>3.56950511666665</v>
      </c>
    </row>
    <row r="53">
      <c r="A53" s="1" t="s">
        <v>223</v>
      </c>
      <c r="B53" s="1" t="s">
        <v>224</v>
      </c>
      <c r="C53" s="1" t="s">
        <v>221</v>
      </c>
      <c r="D53" s="1" t="s">
        <v>224</v>
      </c>
      <c r="E53" s="1" t="s">
        <v>10</v>
      </c>
      <c r="F53" s="1" t="s">
        <v>225</v>
      </c>
      <c r="G53" s="1" t="s">
        <v>226</v>
      </c>
      <c r="H53" s="1">
        <v>5.275977133333333</v>
      </c>
    </row>
    <row r="54">
      <c r="A54" s="1" t="s">
        <v>227</v>
      </c>
      <c r="B54" s="1" t="s">
        <v>228</v>
      </c>
      <c r="C54" s="1" t="s">
        <v>225</v>
      </c>
      <c r="D54" s="1" t="s">
        <v>225</v>
      </c>
      <c r="E54" s="1" t="s">
        <v>229</v>
      </c>
      <c r="F54" s="1" t="s">
        <v>230</v>
      </c>
      <c r="G54" s="1" t="s">
        <v>231</v>
      </c>
      <c r="H54" s="1">
        <v>4.633153799999966</v>
      </c>
    </row>
    <row r="55">
      <c r="A55" s="1" t="s">
        <v>232</v>
      </c>
      <c r="B55" s="1" t="s">
        <v>233</v>
      </c>
      <c r="C55" s="1" t="s">
        <v>230</v>
      </c>
      <c r="D55" s="1" t="s">
        <v>233</v>
      </c>
      <c r="E55" s="1" t="s">
        <v>10</v>
      </c>
      <c r="F55" s="1" t="s">
        <v>234</v>
      </c>
      <c r="G55" s="1" t="s">
        <v>235</v>
      </c>
      <c r="H55" s="1">
        <v>3.245761050000017</v>
      </c>
    </row>
    <row r="56">
      <c r="A56" s="1" t="s">
        <v>236</v>
      </c>
      <c r="B56" s="1" t="s">
        <v>237</v>
      </c>
      <c r="C56" s="1" t="s">
        <v>234</v>
      </c>
      <c r="D56" s="1" t="s">
        <v>237</v>
      </c>
      <c r="E56" s="1" t="s">
        <v>10</v>
      </c>
      <c r="F56" s="1" t="s">
        <v>238</v>
      </c>
      <c r="G56" s="1" t="s">
        <v>239</v>
      </c>
      <c r="H56" s="1">
        <v>4.2326506666666335</v>
      </c>
    </row>
    <row r="57">
      <c r="A57" s="1" t="s">
        <v>240</v>
      </c>
      <c r="B57" s="1" t="s">
        <v>241</v>
      </c>
      <c r="C57" s="1" t="s">
        <v>238</v>
      </c>
      <c r="D57" s="1" t="s">
        <v>241</v>
      </c>
      <c r="E57" s="1" t="s">
        <v>10</v>
      </c>
      <c r="F57" s="1" t="s">
        <v>242</v>
      </c>
      <c r="G57" s="1" t="s">
        <v>243</v>
      </c>
      <c r="H57" s="1">
        <v>3.994126166666683</v>
      </c>
    </row>
    <row r="58">
      <c r="A58" s="1" t="s">
        <v>244</v>
      </c>
      <c r="B58" s="1" t="s">
        <v>245</v>
      </c>
      <c r="C58" s="1" t="s">
        <v>242</v>
      </c>
      <c r="D58" s="1" t="s">
        <v>245</v>
      </c>
      <c r="E58" s="1" t="s">
        <v>10</v>
      </c>
      <c r="F58" s="1" t="s">
        <v>246</v>
      </c>
      <c r="G58" s="1" t="s">
        <v>247</v>
      </c>
      <c r="H58" s="1">
        <v>4.523700383333334</v>
      </c>
    </row>
    <row r="59">
      <c r="A59" s="1" t="s">
        <v>248</v>
      </c>
      <c r="B59" s="1" t="s">
        <v>249</v>
      </c>
      <c r="C59" s="1" t="s">
        <v>246</v>
      </c>
      <c r="D59" s="1" t="s">
        <v>249</v>
      </c>
      <c r="E59" s="1" t="s">
        <v>10</v>
      </c>
      <c r="F59" s="1" t="s">
        <v>250</v>
      </c>
      <c r="G59" s="1" t="s">
        <v>251</v>
      </c>
      <c r="H59" s="1">
        <v>3.9724097499999997</v>
      </c>
    </row>
    <row r="60">
      <c r="A60" s="1" t="s">
        <v>252</v>
      </c>
      <c r="B60" s="1" t="s">
        <v>253</v>
      </c>
      <c r="C60" s="1" t="s">
        <v>250</v>
      </c>
      <c r="D60" s="1" t="s">
        <v>253</v>
      </c>
      <c r="E60" s="1" t="s">
        <v>10</v>
      </c>
      <c r="F60" s="1" t="s">
        <v>254</v>
      </c>
      <c r="G60" s="1" t="s">
        <v>255</v>
      </c>
      <c r="H60" s="1">
        <v>4.752277533333284</v>
      </c>
    </row>
    <row r="61">
      <c r="A61" s="1" t="s">
        <v>256</v>
      </c>
      <c r="B61" s="1" t="s">
        <v>257</v>
      </c>
      <c r="C61" s="1" t="s">
        <v>254</v>
      </c>
      <c r="D61" s="1" t="s">
        <v>257</v>
      </c>
      <c r="E61" s="1" t="s">
        <v>10</v>
      </c>
      <c r="F61" s="1" t="s">
        <v>258</v>
      </c>
      <c r="G61" s="1" t="s">
        <v>259</v>
      </c>
      <c r="H61" s="1">
        <v>7.055259799999967</v>
      </c>
    </row>
    <row r="62">
      <c r="A62" s="1" t="s">
        <v>260</v>
      </c>
      <c r="B62" s="1" t="s">
        <v>261</v>
      </c>
      <c r="C62" s="1" t="s">
        <v>258</v>
      </c>
      <c r="D62" s="1" t="s">
        <v>258</v>
      </c>
      <c r="E62" s="1" t="s">
        <v>262</v>
      </c>
      <c r="F62" s="1" t="s">
        <v>263</v>
      </c>
      <c r="G62" s="1" t="s">
        <v>264</v>
      </c>
      <c r="H62" s="1">
        <v>3.1264525333333166</v>
      </c>
    </row>
    <row r="63">
      <c r="A63" s="1" t="s">
        <v>265</v>
      </c>
      <c r="B63" s="1" t="s">
        <v>266</v>
      </c>
      <c r="C63" s="1" t="s">
        <v>263</v>
      </c>
      <c r="D63" s="1" t="s">
        <v>263</v>
      </c>
      <c r="E63" s="1" t="s">
        <v>267</v>
      </c>
      <c r="F63" s="1" t="s">
        <v>268</v>
      </c>
      <c r="G63" s="1" t="s">
        <v>269</v>
      </c>
      <c r="H63" s="1">
        <v>4.4952681166667</v>
      </c>
    </row>
    <row r="64">
      <c r="A64" s="1" t="s">
        <v>270</v>
      </c>
      <c r="B64" s="1" t="s">
        <v>271</v>
      </c>
      <c r="C64" s="1" t="s">
        <v>268</v>
      </c>
      <c r="D64" s="1" t="s">
        <v>271</v>
      </c>
      <c r="E64" s="1" t="s">
        <v>10</v>
      </c>
      <c r="F64" s="1" t="s">
        <v>272</v>
      </c>
      <c r="G64" s="1" t="s">
        <v>273</v>
      </c>
      <c r="H64" s="1">
        <v>2.9649785999999834</v>
      </c>
    </row>
    <row r="65">
      <c r="A65" s="1" t="s">
        <v>274</v>
      </c>
      <c r="B65" s="1" t="s">
        <v>275</v>
      </c>
      <c r="C65" s="1" t="s">
        <v>272</v>
      </c>
      <c r="D65" s="1" t="s">
        <v>275</v>
      </c>
      <c r="E65" s="1" t="s">
        <v>10</v>
      </c>
      <c r="F65" s="1" t="s">
        <v>276</v>
      </c>
      <c r="G65" s="1" t="s">
        <v>277</v>
      </c>
      <c r="H65" s="1">
        <v>4.451338650000016</v>
      </c>
    </row>
    <row r="66">
      <c r="A66" s="1" t="s">
        <v>278</v>
      </c>
      <c r="B66" s="1" t="s">
        <v>279</v>
      </c>
      <c r="C66" s="1" t="s">
        <v>276</v>
      </c>
      <c r="D66" s="1" t="s">
        <v>279</v>
      </c>
      <c r="E66" s="1" t="s">
        <v>10</v>
      </c>
      <c r="F66" s="1" t="s">
        <v>280</v>
      </c>
      <c r="G66" s="1" t="s">
        <v>281</v>
      </c>
      <c r="H66" s="1">
        <v>3.6167623666666335</v>
      </c>
    </row>
    <row r="67">
      <c r="A67" s="1" t="s">
        <v>282</v>
      </c>
      <c r="B67" s="1" t="s">
        <v>283</v>
      </c>
      <c r="C67" s="1" t="s">
        <v>280</v>
      </c>
      <c r="D67" s="1" t="s">
        <v>283</v>
      </c>
      <c r="E67" s="1" t="s">
        <v>10</v>
      </c>
      <c r="F67" s="1" t="s">
        <v>284</v>
      </c>
      <c r="G67" s="1" t="s">
        <v>285</v>
      </c>
      <c r="H67" s="1">
        <v>3.0000094666666834</v>
      </c>
    </row>
    <row r="68">
      <c r="A68" s="1" t="s">
        <v>286</v>
      </c>
      <c r="B68" s="1" t="s">
        <v>287</v>
      </c>
      <c r="C68" s="1" t="s">
        <v>284</v>
      </c>
      <c r="D68" s="1" t="s">
        <v>287</v>
      </c>
      <c r="E68" s="1" t="s">
        <v>10</v>
      </c>
      <c r="F68" s="1" t="s">
        <v>288</v>
      </c>
      <c r="G68" s="1" t="s">
        <v>289</v>
      </c>
      <c r="H68" s="1">
        <v>4.077101100000017</v>
      </c>
    </row>
    <row r="69">
      <c r="A69" s="1" t="s">
        <v>290</v>
      </c>
      <c r="B69" s="1" t="s">
        <v>291</v>
      </c>
      <c r="C69" s="1" t="s">
        <v>288</v>
      </c>
      <c r="D69" s="1" t="s">
        <v>291</v>
      </c>
      <c r="E69" s="1" t="s">
        <v>10</v>
      </c>
      <c r="F69" s="1" t="s">
        <v>292</v>
      </c>
      <c r="G69" s="1" t="s">
        <v>293</v>
      </c>
      <c r="H69" s="1">
        <v>4.251263166666684</v>
      </c>
    </row>
    <row r="70">
      <c r="A70" s="1" t="s">
        <v>294</v>
      </c>
      <c r="B70" s="1" t="s">
        <v>295</v>
      </c>
      <c r="C70" s="1" t="s">
        <v>292</v>
      </c>
      <c r="D70" s="1" t="s">
        <v>295</v>
      </c>
      <c r="E70" s="1" t="s">
        <v>10</v>
      </c>
      <c r="F70" s="1" t="s">
        <v>296</v>
      </c>
      <c r="G70" s="1" t="s">
        <v>297</v>
      </c>
      <c r="H70" s="1">
        <v>2.4530365333333504</v>
      </c>
    </row>
    <row r="71">
      <c r="A71" s="1" t="s">
        <v>298</v>
      </c>
      <c r="B71" s="1" t="s">
        <v>299</v>
      </c>
      <c r="C71" s="1" t="s">
        <v>296</v>
      </c>
      <c r="D71" s="1" t="s">
        <v>299</v>
      </c>
      <c r="E71" s="1" t="s">
        <v>10</v>
      </c>
      <c r="F71" s="1" t="s">
        <v>300</v>
      </c>
      <c r="G71" s="1" t="s">
        <v>301</v>
      </c>
      <c r="H71" s="1">
        <v>4.58553134999995</v>
      </c>
    </row>
    <row r="72">
      <c r="A72" s="1" t="s">
        <v>302</v>
      </c>
      <c r="B72" s="1" t="s">
        <v>303</v>
      </c>
      <c r="C72" s="1" t="s">
        <v>300</v>
      </c>
      <c r="D72" s="1" t="s">
        <v>303</v>
      </c>
      <c r="E72" s="1" t="s">
        <v>10</v>
      </c>
      <c r="F72" s="1" t="s">
        <v>304</v>
      </c>
      <c r="G72" s="1" t="s">
        <v>305</v>
      </c>
      <c r="H72" s="1">
        <v>5.7806423833333005</v>
      </c>
    </row>
    <row r="73">
      <c r="A73" s="1" t="s">
        <v>306</v>
      </c>
      <c r="B73" s="1" t="s">
        <v>307</v>
      </c>
      <c r="C73" s="1" t="s">
        <v>304</v>
      </c>
      <c r="D73" s="1" t="s">
        <v>304</v>
      </c>
      <c r="E73" s="1" t="s">
        <v>308</v>
      </c>
      <c r="F73" s="1" t="s">
        <v>309</v>
      </c>
      <c r="G73" s="1" t="s">
        <v>310</v>
      </c>
      <c r="H73" s="1">
        <v>5.035292783333366</v>
      </c>
    </row>
    <row r="74">
      <c r="A74" s="1" t="s">
        <v>311</v>
      </c>
      <c r="B74" s="1" t="s">
        <v>312</v>
      </c>
      <c r="C74" s="1" t="s">
        <v>309</v>
      </c>
      <c r="D74" s="1" t="s">
        <v>309</v>
      </c>
      <c r="E74" s="1" t="s">
        <v>313</v>
      </c>
      <c r="F74" s="1" t="s">
        <v>314</v>
      </c>
      <c r="G74" s="1" t="s">
        <v>315</v>
      </c>
      <c r="H74" s="1">
        <v>3.2172514999999833</v>
      </c>
    </row>
    <row r="75">
      <c r="A75" s="1" t="s">
        <v>316</v>
      </c>
      <c r="B75" s="1" t="s">
        <v>317</v>
      </c>
      <c r="C75" s="1" t="s">
        <v>314</v>
      </c>
      <c r="D75" s="1" t="s">
        <v>317</v>
      </c>
      <c r="E75" s="1" t="s">
        <v>10</v>
      </c>
      <c r="F75" s="1" t="s">
        <v>318</v>
      </c>
      <c r="G75" s="1" t="s">
        <v>319</v>
      </c>
      <c r="H75" s="1">
        <v>4.506725916666634</v>
      </c>
    </row>
    <row r="76">
      <c r="A76" s="1" t="s">
        <v>320</v>
      </c>
      <c r="B76" s="1" t="s">
        <v>321</v>
      </c>
      <c r="C76" s="1" t="s">
        <v>318</v>
      </c>
      <c r="D76" s="1" t="s">
        <v>321</v>
      </c>
      <c r="E76" s="1" t="s">
        <v>10</v>
      </c>
      <c r="F76" s="1" t="s">
        <v>322</v>
      </c>
      <c r="G76" s="1" t="s">
        <v>323</v>
      </c>
      <c r="H76" s="1">
        <v>3.7112132833333167</v>
      </c>
    </row>
    <row r="77">
      <c r="A77" s="1" t="s">
        <v>324</v>
      </c>
      <c r="B77" s="1" t="s">
        <v>325</v>
      </c>
      <c r="C77" s="1" t="s">
        <v>322</v>
      </c>
      <c r="D77" s="1" t="s">
        <v>325</v>
      </c>
      <c r="E77" s="1" t="s">
        <v>10</v>
      </c>
      <c r="F77" s="1" t="s">
        <v>326</v>
      </c>
      <c r="G77" s="1" t="s">
        <v>327</v>
      </c>
      <c r="H77" s="1">
        <v>3.5295966999999835</v>
      </c>
    </row>
    <row r="78">
      <c r="A78" s="1" t="s">
        <v>328</v>
      </c>
      <c r="B78" s="1" t="s">
        <v>329</v>
      </c>
      <c r="C78" s="1" t="s">
        <v>326</v>
      </c>
      <c r="D78" s="1" t="s">
        <v>329</v>
      </c>
      <c r="E78" s="1" t="s">
        <v>10</v>
      </c>
      <c r="F78" s="1" t="s">
        <v>330</v>
      </c>
      <c r="G78" s="1" t="s">
        <v>331</v>
      </c>
      <c r="H78" s="1">
        <v>1.8218029666666666</v>
      </c>
    </row>
    <row r="79">
      <c r="A79" s="1" t="s">
        <v>332</v>
      </c>
      <c r="B79" s="1" t="s">
        <v>333</v>
      </c>
      <c r="C79" s="1" t="s">
        <v>330</v>
      </c>
      <c r="D79" s="1" t="s">
        <v>333</v>
      </c>
      <c r="E79" s="1" t="s">
        <v>10</v>
      </c>
      <c r="F79" s="1" t="s">
        <v>334</v>
      </c>
      <c r="G79" s="1" t="s">
        <v>335</v>
      </c>
      <c r="H79" s="1">
        <v>3.0550654666666333</v>
      </c>
    </row>
    <row r="80">
      <c r="A80" s="1" t="s">
        <v>336</v>
      </c>
      <c r="B80" s="1" t="s">
        <v>337</v>
      </c>
      <c r="C80" s="1" t="s">
        <v>334</v>
      </c>
      <c r="D80" s="1" t="s">
        <v>337</v>
      </c>
      <c r="E80" s="1" t="s">
        <v>10</v>
      </c>
      <c r="F80" s="1" t="s">
        <v>338</v>
      </c>
      <c r="G80" s="1" t="s">
        <v>339</v>
      </c>
      <c r="H80" s="1">
        <v>1.8561306833333333</v>
      </c>
    </row>
    <row r="81">
      <c r="A81" s="1" t="s">
        <v>340</v>
      </c>
      <c r="B81" s="1" t="s">
        <v>341</v>
      </c>
      <c r="C81" s="1" t="s">
        <v>338</v>
      </c>
      <c r="D81" s="1" t="s">
        <v>341</v>
      </c>
      <c r="E81" s="1" t="s">
        <v>10</v>
      </c>
      <c r="F81" s="1" t="s">
        <v>342</v>
      </c>
      <c r="G81" s="1" t="s">
        <v>343</v>
      </c>
      <c r="H81" s="1">
        <v>3.1998094999999664</v>
      </c>
    </row>
    <row r="82">
      <c r="A82" s="1" t="s">
        <v>344</v>
      </c>
      <c r="B82" s="1" t="s">
        <v>345</v>
      </c>
      <c r="C82" s="1" t="s">
        <v>342</v>
      </c>
      <c r="D82" s="1" t="s">
        <v>345</v>
      </c>
      <c r="E82" s="1" t="s">
        <v>10</v>
      </c>
      <c r="F82" s="1" t="s">
        <v>346</v>
      </c>
      <c r="G82" s="1" t="s">
        <v>347</v>
      </c>
      <c r="H82" s="1">
        <v>3.8811584</v>
      </c>
    </row>
    <row r="83">
      <c r="A83" s="1" t="s">
        <v>348</v>
      </c>
      <c r="B83" s="1" t="s">
        <v>349</v>
      </c>
      <c r="C83" s="1" t="s">
        <v>346</v>
      </c>
      <c r="D83" s="1" t="s">
        <v>349</v>
      </c>
      <c r="E83" s="1" t="s">
        <v>10</v>
      </c>
      <c r="F83" s="1" t="s">
        <v>350</v>
      </c>
      <c r="G83" s="1" t="s">
        <v>351</v>
      </c>
      <c r="H83" s="1">
        <v>5.21940321666665</v>
      </c>
    </row>
    <row r="84">
      <c r="A84" s="1" t="s">
        <v>352</v>
      </c>
      <c r="B84" s="1" t="s">
        <v>353</v>
      </c>
      <c r="C84" s="1" t="s">
        <v>350</v>
      </c>
      <c r="D84" s="1" t="s">
        <v>350</v>
      </c>
      <c r="E84" s="1" t="s">
        <v>354</v>
      </c>
      <c r="F84" s="1" t="s">
        <v>355</v>
      </c>
      <c r="G84" s="1" t="s">
        <v>356</v>
      </c>
      <c r="H84" s="1">
        <v>3.24730834999985</v>
      </c>
    </row>
    <row r="85">
      <c r="A85" s="1" t="s">
        <v>357</v>
      </c>
      <c r="B85" s="1" t="s">
        <v>358</v>
      </c>
      <c r="C85" s="1" t="s">
        <v>355</v>
      </c>
      <c r="D85" s="1" t="s">
        <v>358</v>
      </c>
      <c r="E85" s="1" t="s">
        <v>10</v>
      </c>
      <c r="F85" s="1" t="s">
        <v>359</v>
      </c>
      <c r="G85" s="1" t="s">
        <v>360</v>
      </c>
      <c r="H85" s="1">
        <v>3.328861383333283</v>
      </c>
    </row>
    <row r="86">
      <c r="A86" s="1" t="s">
        <v>361</v>
      </c>
      <c r="B86" s="1" t="s">
        <v>362</v>
      </c>
      <c r="C86" s="1" t="s">
        <v>359</v>
      </c>
      <c r="D86" s="1" t="s">
        <v>362</v>
      </c>
      <c r="E86" s="1" t="s">
        <v>10</v>
      </c>
      <c r="F86" s="1" t="s">
        <v>363</v>
      </c>
      <c r="G86" s="1" t="s">
        <v>364</v>
      </c>
      <c r="H86" s="1">
        <v>2.5334912166666834</v>
      </c>
    </row>
    <row r="87">
      <c r="A87" s="1" t="s">
        <v>365</v>
      </c>
      <c r="B87" s="1" t="s">
        <v>366</v>
      </c>
      <c r="C87" s="1" t="s">
        <v>363</v>
      </c>
      <c r="D87" s="1" t="s">
        <v>366</v>
      </c>
      <c r="E87" s="1" t="s">
        <v>10</v>
      </c>
      <c r="F87" s="1" t="s">
        <v>367</v>
      </c>
      <c r="G87" s="1" t="s">
        <v>368</v>
      </c>
      <c r="H87" s="1">
        <v>3.0238246666666333</v>
      </c>
    </row>
    <row r="88">
      <c r="A88" s="1" t="s">
        <v>369</v>
      </c>
      <c r="B88" s="1" t="s">
        <v>370</v>
      </c>
      <c r="C88" s="1" t="s">
        <v>367</v>
      </c>
      <c r="D88" s="1" t="s">
        <v>370</v>
      </c>
      <c r="E88" s="1" t="s">
        <v>10</v>
      </c>
      <c r="F88" s="1" t="s">
        <v>371</v>
      </c>
      <c r="G88" s="1" t="s">
        <v>372</v>
      </c>
      <c r="H88" s="1">
        <v>3.7359881666666834</v>
      </c>
    </row>
    <row r="89">
      <c r="A89" s="1" t="s">
        <v>373</v>
      </c>
      <c r="B89" s="1" t="s">
        <v>374</v>
      </c>
      <c r="C89" s="1" t="s">
        <v>371</v>
      </c>
      <c r="D89" s="1" t="s">
        <v>374</v>
      </c>
      <c r="E89" s="1" t="s">
        <v>10</v>
      </c>
      <c r="F89" s="1" t="s">
        <v>375</v>
      </c>
      <c r="G89" s="1" t="s">
        <v>376</v>
      </c>
      <c r="H89" s="1">
        <v>2.5865577666666835</v>
      </c>
    </row>
    <row r="90">
      <c r="A90" s="1" t="s">
        <v>377</v>
      </c>
      <c r="B90" s="1" t="s">
        <v>378</v>
      </c>
      <c r="C90" s="1" t="s">
        <v>375</v>
      </c>
      <c r="D90" s="1" t="s">
        <v>378</v>
      </c>
      <c r="E90" s="1" t="s">
        <v>10</v>
      </c>
      <c r="F90" s="1" t="s">
        <v>379</v>
      </c>
      <c r="G90" s="1" t="s">
        <v>380</v>
      </c>
      <c r="H90" s="1">
        <v>2.038928850000017</v>
      </c>
    </row>
    <row r="91">
      <c r="A91" s="1" t="s">
        <v>381</v>
      </c>
      <c r="B91" s="1" t="s">
        <v>382</v>
      </c>
      <c r="C91" s="1" t="s">
        <v>379</v>
      </c>
      <c r="D91" s="1" t="s">
        <v>382</v>
      </c>
      <c r="E91" s="1" t="s">
        <v>10</v>
      </c>
      <c r="F91" s="1" t="s">
        <v>383</v>
      </c>
      <c r="G91" s="1" t="s">
        <v>384</v>
      </c>
      <c r="H91" s="1">
        <v>2.7245403333333167</v>
      </c>
    </row>
    <row r="92">
      <c r="A92" s="1" t="s">
        <v>385</v>
      </c>
      <c r="B92" s="1" t="s">
        <v>386</v>
      </c>
      <c r="C92" s="1" t="s">
        <v>383</v>
      </c>
      <c r="D92" s="1" t="s">
        <v>386</v>
      </c>
      <c r="E92" s="1" t="s">
        <v>10</v>
      </c>
      <c r="F92" s="1" t="s">
        <v>387</v>
      </c>
      <c r="G92" s="1" t="s">
        <v>388</v>
      </c>
      <c r="H92" s="1">
        <v>4.540595866666633</v>
      </c>
    </row>
    <row r="93">
      <c r="A93" s="1" t="s">
        <v>389</v>
      </c>
      <c r="B93" s="1" t="s">
        <v>390</v>
      </c>
      <c r="C93" s="1" t="s">
        <v>387</v>
      </c>
      <c r="D93" s="1" t="s">
        <v>390</v>
      </c>
      <c r="E93" s="1" t="s">
        <v>10</v>
      </c>
      <c r="F93" s="1" t="s">
        <v>391</v>
      </c>
      <c r="G93" s="1" t="s">
        <v>392</v>
      </c>
      <c r="H93" s="1">
        <v>4.086081916666633</v>
      </c>
    </row>
    <row r="94">
      <c r="A94" s="1" t="s">
        <v>393</v>
      </c>
      <c r="B94" s="1" t="s">
        <v>394</v>
      </c>
      <c r="C94" s="1" t="s">
        <v>391</v>
      </c>
      <c r="D94" s="1" t="s">
        <v>394</v>
      </c>
      <c r="E94" s="1" t="s">
        <v>10</v>
      </c>
      <c r="F94" s="1" t="s">
        <v>395</v>
      </c>
      <c r="G94" s="1" t="s">
        <v>396</v>
      </c>
      <c r="H94" s="1">
        <v>3.3839825833333332</v>
      </c>
    </row>
    <row r="95">
      <c r="A95" s="1" t="s">
        <v>397</v>
      </c>
      <c r="B95" s="1" t="s">
        <v>398</v>
      </c>
      <c r="C95" s="1" t="s">
        <v>395</v>
      </c>
      <c r="D95" s="1" t="s">
        <v>398</v>
      </c>
      <c r="E95" s="1" t="s">
        <v>10</v>
      </c>
      <c r="F95" s="1" t="s">
        <v>399</v>
      </c>
      <c r="G95" s="1" t="s">
        <v>400</v>
      </c>
      <c r="H95" s="1">
        <v>3.0402888166666666</v>
      </c>
    </row>
    <row r="96">
      <c r="A96" s="1" t="s">
        <v>401</v>
      </c>
      <c r="B96" s="1" t="s">
        <v>402</v>
      </c>
      <c r="C96" s="1" t="s">
        <v>399</v>
      </c>
      <c r="D96" s="1" t="s">
        <v>402</v>
      </c>
      <c r="E96" s="1" t="s">
        <v>10</v>
      </c>
      <c r="F96" s="1" t="s">
        <v>403</v>
      </c>
      <c r="G96" s="1" t="s">
        <v>404</v>
      </c>
      <c r="H96" s="1">
        <v>4.774083516666683</v>
      </c>
    </row>
    <row r="97">
      <c r="A97" s="1" t="s">
        <v>405</v>
      </c>
      <c r="B97" s="1" t="s">
        <v>406</v>
      </c>
      <c r="C97" s="1" t="s">
        <v>403</v>
      </c>
      <c r="D97" s="1" t="s">
        <v>406</v>
      </c>
      <c r="E97" s="1" t="s">
        <v>10</v>
      </c>
      <c r="F97" s="1" t="s">
        <v>407</v>
      </c>
      <c r="G97" s="1" t="s">
        <v>408</v>
      </c>
      <c r="H97" s="1">
        <v>3.5130634333333335</v>
      </c>
    </row>
    <row r="98">
      <c r="A98" s="1" t="s">
        <v>409</v>
      </c>
      <c r="B98" s="1" t="s">
        <v>410</v>
      </c>
      <c r="C98" s="1" t="s">
        <v>407</v>
      </c>
      <c r="D98" s="1" t="s">
        <v>410</v>
      </c>
      <c r="E98" s="1" t="s">
        <v>10</v>
      </c>
      <c r="F98" s="1" t="s">
        <v>411</v>
      </c>
      <c r="G98" s="1" t="s">
        <v>412</v>
      </c>
      <c r="H98" s="1">
        <v>2.340845299999933</v>
      </c>
    </row>
    <row r="99">
      <c r="A99" s="1" t="s">
        <v>413</v>
      </c>
      <c r="B99" s="1" t="s">
        <v>414</v>
      </c>
      <c r="C99" s="1" t="s">
        <v>411</v>
      </c>
      <c r="D99" s="1" t="s">
        <v>414</v>
      </c>
      <c r="E99" s="1" t="s">
        <v>10</v>
      </c>
      <c r="F99" s="1" t="s">
        <v>415</v>
      </c>
      <c r="G99" s="1" t="s">
        <v>416</v>
      </c>
      <c r="H99" s="1">
        <v>5.339034766666616</v>
      </c>
    </row>
    <row r="100">
      <c r="A100" s="1" t="s">
        <v>417</v>
      </c>
      <c r="B100" s="1" t="s">
        <v>418</v>
      </c>
      <c r="C100" s="1" t="s">
        <v>415</v>
      </c>
      <c r="D100" s="1" t="s">
        <v>415</v>
      </c>
      <c r="E100" s="1" t="s">
        <v>419</v>
      </c>
      <c r="F100" s="1" t="s">
        <v>420</v>
      </c>
      <c r="G100" s="1" t="s">
        <v>421</v>
      </c>
      <c r="H100" s="1">
        <v>4.0685170500000165</v>
      </c>
    </row>
    <row r="101">
      <c r="A101" s="1" t="s">
        <v>422</v>
      </c>
      <c r="B101" s="1" t="s">
        <v>423</v>
      </c>
      <c r="C101" s="1" t="s">
        <v>420</v>
      </c>
      <c r="D101" s="1" t="s">
        <v>423</v>
      </c>
      <c r="E101" s="1" t="s">
        <v>10</v>
      </c>
      <c r="F101" s="1" t="s">
        <v>424</v>
      </c>
      <c r="G101" s="1" t="s">
        <v>425</v>
      </c>
      <c r="H101" s="1">
        <v>4.481194466666683</v>
      </c>
    </row>
    <row r="102">
      <c r="A102" s="1" t="s">
        <v>426</v>
      </c>
      <c r="B102" s="1" t="s">
        <v>427</v>
      </c>
      <c r="C102" s="1" t="s">
        <v>424</v>
      </c>
      <c r="D102" s="1" t="s">
        <v>427</v>
      </c>
      <c r="E102" s="1" t="s">
        <v>10</v>
      </c>
      <c r="F102" s="1" t="s">
        <v>428</v>
      </c>
      <c r="G102" s="1" t="s">
        <v>429</v>
      </c>
      <c r="H102" s="1">
        <v>2.65471573333335</v>
      </c>
    </row>
    <row r="103">
      <c r="A103" s="1" t="s">
        <v>430</v>
      </c>
      <c r="B103" s="1" t="s">
        <v>431</v>
      </c>
      <c r="C103" s="1" t="s">
        <v>428</v>
      </c>
      <c r="D103" s="1" t="s">
        <v>431</v>
      </c>
      <c r="E103" s="1" t="s">
        <v>10</v>
      </c>
      <c r="F103" s="1" t="s">
        <v>432</v>
      </c>
      <c r="G103" s="1" t="s">
        <v>433</v>
      </c>
      <c r="H103" s="1">
        <v>3.1990949833333504</v>
      </c>
    </row>
    <row r="104">
      <c r="A104" s="1" t="s">
        <v>434</v>
      </c>
      <c r="B104" s="1" t="s">
        <v>435</v>
      </c>
      <c r="C104" s="1" t="s">
        <v>432</v>
      </c>
      <c r="D104" s="1" t="s">
        <v>435</v>
      </c>
      <c r="E104" s="1" t="s">
        <v>10</v>
      </c>
      <c r="F104" s="1" t="s">
        <v>436</v>
      </c>
      <c r="G104" s="1" t="s">
        <v>437</v>
      </c>
      <c r="H104" s="1">
        <v>2.828771466666567</v>
      </c>
    </row>
    <row r="105">
      <c r="A105" s="1" t="s">
        <v>438</v>
      </c>
      <c r="B105" s="1" t="s">
        <v>439</v>
      </c>
      <c r="C105" s="1" t="s">
        <v>436</v>
      </c>
      <c r="D105" s="1" t="s">
        <v>439</v>
      </c>
      <c r="E105" s="1" t="s">
        <v>10</v>
      </c>
      <c r="F105" s="1" t="s">
        <v>440</v>
      </c>
      <c r="G105" s="1" t="s">
        <v>441</v>
      </c>
      <c r="H105" s="1">
        <v>3.9537372333332836</v>
      </c>
    </row>
    <row r="106">
      <c r="A106" s="1" t="s">
        <v>442</v>
      </c>
      <c r="B106" s="1" t="s">
        <v>443</v>
      </c>
      <c r="C106" s="1" t="s">
        <v>440</v>
      </c>
      <c r="D106" s="1" t="s">
        <v>443</v>
      </c>
      <c r="E106" s="1" t="s">
        <v>10</v>
      </c>
      <c r="F106" s="1" t="s">
        <v>444</v>
      </c>
      <c r="G106" s="1" t="s">
        <v>445</v>
      </c>
      <c r="H106" s="1">
        <v>6.0534522166666</v>
      </c>
    </row>
    <row r="107">
      <c r="A107" s="1" t="s">
        <v>446</v>
      </c>
      <c r="B107" s="1" t="s">
        <v>447</v>
      </c>
      <c r="C107" s="1" t="s">
        <v>444</v>
      </c>
      <c r="D107" s="1" t="s">
        <v>444</v>
      </c>
      <c r="E107" s="1" t="s">
        <v>448</v>
      </c>
      <c r="F107" s="1" t="s">
        <v>449</v>
      </c>
      <c r="G107" s="1" t="s">
        <v>450</v>
      </c>
      <c r="H107" s="1">
        <v>5.74551355</v>
      </c>
    </row>
    <row r="108">
      <c r="A108" s="1" t="s">
        <v>451</v>
      </c>
      <c r="B108" s="1" t="s">
        <v>452</v>
      </c>
      <c r="C108" s="1" t="s">
        <v>449</v>
      </c>
      <c r="D108" s="1" t="s">
        <v>449</v>
      </c>
      <c r="E108" s="1" t="s">
        <v>453</v>
      </c>
      <c r="F108" s="1" t="s">
        <v>454</v>
      </c>
      <c r="G108" s="1" t="s">
        <v>455</v>
      </c>
      <c r="H108" s="1">
        <v>5.805670866666683</v>
      </c>
    </row>
    <row r="109">
      <c r="A109" s="1" t="s">
        <v>456</v>
      </c>
      <c r="B109" s="1" t="s">
        <v>457</v>
      </c>
      <c r="C109" s="1" t="s">
        <v>454</v>
      </c>
      <c r="D109" s="1" t="s">
        <v>454</v>
      </c>
      <c r="E109" s="1" t="s">
        <v>458</v>
      </c>
      <c r="F109" s="1" t="s">
        <v>459</v>
      </c>
      <c r="G109" s="1" t="s">
        <v>460</v>
      </c>
      <c r="H109" s="1">
        <v>4.761039483333317</v>
      </c>
    </row>
    <row r="110">
      <c r="A110" s="1" t="s">
        <v>461</v>
      </c>
      <c r="B110" s="1" t="s">
        <v>462</v>
      </c>
      <c r="C110" s="1" t="s">
        <v>459</v>
      </c>
      <c r="D110" s="1" t="s">
        <v>459</v>
      </c>
      <c r="E110" s="1" t="s">
        <v>463</v>
      </c>
      <c r="F110" s="1" t="s">
        <v>464</v>
      </c>
      <c r="G110" s="1" t="s">
        <v>465</v>
      </c>
      <c r="H110" s="1">
        <v>2.0602664666666333</v>
      </c>
    </row>
    <row r="111">
      <c r="A111" s="1" t="s">
        <v>466</v>
      </c>
      <c r="B111" s="1" t="s">
        <v>467</v>
      </c>
      <c r="C111" s="1" t="s">
        <v>464</v>
      </c>
      <c r="D111" s="1" t="s">
        <v>467</v>
      </c>
      <c r="E111" s="1" t="s">
        <v>10</v>
      </c>
      <c r="F111" s="1" t="s">
        <v>468</v>
      </c>
      <c r="G111" s="1" t="s">
        <v>469</v>
      </c>
      <c r="H111" s="1">
        <v>3.6245825666666667</v>
      </c>
    </row>
    <row r="112">
      <c r="A112" s="1" t="s">
        <v>470</v>
      </c>
      <c r="B112" s="1" t="s">
        <v>471</v>
      </c>
      <c r="C112" s="1" t="s">
        <v>468</v>
      </c>
      <c r="D112" s="1" t="s">
        <v>471</v>
      </c>
      <c r="E112" s="1" t="s">
        <v>10</v>
      </c>
      <c r="F112" s="1" t="s">
        <v>472</v>
      </c>
      <c r="G112" s="1" t="s">
        <v>473</v>
      </c>
      <c r="H112" s="1">
        <v>3.645087533333317</v>
      </c>
    </row>
    <row r="113">
      <c r="A113" s="1" t="s">
        <v>474</v>
      </c>
      <c r="B113" s="1" t="s">
        <v>475</v>
      </c>
      <c r="C113" s="1" t="s">
        <v>472</v>
      </c>
      <c r="D113" s="1" t="s">
        <v>475</v>
      </c>
      <c r="E113" s="1" t="s">
        <v>10</v>
      </c>
      <c r="F113" s="1" t="s">
        <v>476</v>
      </c>
      <c r="G113" s="1" t="s">
        <v>477</v>
      </c>
      <c r="H113" s="1">
        <v>4.531619266666667</v>
      </c>
    </row>
    <row r="114">
      <c r="A114" s="1" t="s">
        <v>478</v>
      </c>
      <c r="B114" s="1" t="s">
        <v>479</v>
      </c>
      <c r="C114" s="1" t="s">
        <v>476</v>
      </c>
      <c r="D114" s="1" t="s">
        <v>479</v>
      </c>
      <c r="E114" s="1" t="s">
        <v>10</v>
      </c>
      <c r="F114" s="1" t="s">
        <v>480</v>
      </c>
      <c r="G114" s="1" t="s">
        <v>481</v>
      </c>
      <c r="H114" s="1">
        <v>4.339952666666666</v>
      </c>
    </row>
    <row r="115">
      <c r="A115" s="1" t="s">
        <v>482</v>
      </c>
      <c r="B115" s="1" t="s">
        <v>483</v>
      </c>
      <c r="C115" s="1" t="s">
        <v>480</v>
      </c>
      <c r="D115" s="1" t="s">
        <v>483</v>
      </c>
      <c r="E115" s="1" t="s">
        <v>10</v>
      </c>
      <c r="F115" s="1" t="s">
        <v>484</v>
      </c>
      <c r="G115" s="1" t="s">
        <v>485</v>
      </c>
      <c r="H115" s="1">
        <v>5.2785588</v>
      </c>
    </row>
    <row r="116">
      <c r="A116" s="1" t="s">
        <v>486</v>
      </c>
      <c r="B116" s="1" t="s">
        <v>487</v>
      </c>
      <c r="C116" s="1" t="s">
        <v>484</v>
      </c>
      <c r="D116" s="1" t="s">
        <v>484</v>
      </c>
      <c r="E116" s="1" t="s">
        <v>488</v>
      </c>
      <c r="F116" s="1" t="s">
        <v>489</v>
      </c>
      <c r="G116" s="1" t="s">
        <v>490</v>
      </c>
      <c r="H116" s="1">
        <v>4.755648249999983</v>
      </c>
    </row>
    <row r="117">
      <c r="A117" s="1" t="s">
        <v>491</v>
      </c>
      <c r="B117" s="1" t="s">
        <v>492</v>
      </c>
      <c r="C117" s="1" t="s">
        <v>489</v>
      </c>
      <c r="D117" s="1" t="s">
        <v>489</v>
      </c>
      <c r="E117" s="1" t="s">
        <v>493</v>
      </c>
      <c r="F117" s="1" t="s">
        <v>494</v>
      </c>
      <c r="G117" s="1" t="s">
        <v>495</v>
      </c>
      <c r="H117" s="1">
        <v>2.4949833833332997</v>
      </c>
    </row>
    <row r="118">
      <c r="A118" s="1" t="s">
        <v>496</v>
      </c>
      <c r="B118" s="1" t="s">
        <v>497</v>
      </c>
      <c r="C118" s="1" t="s">
        <v>494</v>
      </c>
      <c r="D118" s="1" t="s">
        <v>497</v>
      </c>
      <c r="E118" s="1" t="s">
        <v>10</v>
      </c>
      <c r="F118" s="1" t="s">
        <v>498</v>
      </c>
      <c r="G118" s="1" t="s">
        <v>499</v>
      </c>
      <c r="H118" s="1">
        <v>4.141300833333333</v>
      </c>
    </row>
    <row r="119">
      <c r="A119" s="1" t="s">
        <v>500</v>
      </c>
      <c r="B119" s="1" t="s">
        <v>501</v>
      </c>
      <c r="C119" s="1" t="s">
        <v>498</v>
      </c>
      <c r="D119" s="1" t="s">
        <v>501</v>
      </c>
      <c r="E119" s="1" t="s">
        <v>10</v>
      </c>
      <c r="F119" s="1" t="s">
        <v>502</v>
      </c>
      <c r="G119" s="1" t="s">
        <v>503</v>
      </c>
      <c r="H119" s="1">
        <v>4.99810085</v>
      </c>
    </row>
    <row r="120">
      <c r="A120" s="1" t="s">
        <v>504</v>
      </c>
      <c r="B120" s="1" t="s">
        <v>505</v>
      </c>
      <c r="C120" s="1" t="s">
        <v>502</v>
      </c>
      <c r="D120" s="1" t="s">
        <v>505</v>
      </c>
      <c r="E120" s="1" t="s">
        <v>10</v>
      </c>
      <c r="F120" s="1" t="s">
        <v>506</v>
      </c>
      <c r="G120" s="1" t="s">
        <v>507</v>
      </c>
      <c r="H120" s="1">
        <v>4.465101766666583</v>
      </c>
    </row>
    <row r="121">
      <c r="A121" s="1" t="s">
        <v>508</v>
      </c>
      <c r="B121" s="1" t="s">
        <v>509</v>
      </c>
      <c r="C121" s="1" t="s">
        <v>506</v>
      </c>
      <c r="D121" s="1" t="s">
        <v>509</v>
      </c>
      <c r="E121" s="1" t="s">
        <v>10</v>
      </c>
      <c r="F121" s="1" t="s">
        <v>510</v>
      </c>
      <c r="G121" s="1" t="s">
        <v>511</v>
      </c>
      <c r="H121" s="1">
        <v>4.527357849999917</v>
      </c>
    </row>
    <row r="122">
      <c r="A122" s="1" t="s">
        <v>512</v>
      </c>
      <c r="B122" s="1" t="s">
        <v>513</v>
      </c>
      <c r="C122" s="1" t="s">
        <v>510</v>
      </c>
      <c r="D122" s="1" t="s">
        <v>513</v>
      </c>
      <c r="E122" s="1" t="s">
        <v>10</v>
      </c>
      <c r="F122" s="1" t="s">
        <v>514</v>
      </c>
      <c r="G122" s="1" t="s">
        <v>515</v>
      </c>
      <c r="H122" s="1">
        <v>3.1066257</v>
      </c>
    </row>
    <row r="123">
      <c r="A123" s="1" t="s">
        <v>516</v>
      </c>
      <c r="B123" s="1" t="s">
        <v>517</v>
      </c>
      <c r="C123" s="1" t="s">
        <v>514</v>
      </c>
      <c r="D123" s="1" t="s">
        <v>517</v>
      </c>
      <c r="E123" s="1" t="s">
        <v>10</v>
      </c>
      <c r="F123" s="1" t="s">
        <v>518</v>
      </c>
      <c r="G123" s="1" t="s">
        <v>519</v>
      </c>
      <c r="H123" s="1">
        <v>4.3459913333333</v>
      </c>
    </row>
    <row r="124">
      <c r="A124" s="1" t="s">
        <v>520</v>
      </c>
      <c r="B124" s="1" t="s">
        <v>521</v>
      </c>
      <c r="C124" s="1" t="s">
        <v>518</v>
      </c>
      <c r="D124" s="1" t="s">
        <v>521</v>
      </c>
      <c r="E124" s="1" t="s">
        <v>10</v>
      </c>
      <c r="F124" s="1" t="s">
        <v>522</v>
      </c>
      <c r="G124" s="1" t="s">
        <v>523</v>
      </c>
      <c r="H124" s="1">
        <v>3.3385453333333164</v>
      </c>
    </row>
    <row r="125">
      <c r="A125" s="1" t="s">
        <v>524</v>
      </c>
      <c r="B125" s="1" t="s">
        <v>525</v>
      </c>
      <c r="C125" s="1" t="s">
        <v>522</v>
      </c>
      <c r="D125" s="1" t="s">
        <v>525</v>
      </c>
      <c r="E125" s="1" t="s">
        <v>10</v>
      </c>
      <c r="F125" s="1" t="s">
        <v>526</v>
      </c>
      <c r="G125" s="1" t="s">
        <v>527</v>
      </c>
      <c r="H125" s="1">
        <v>4.095151783333249</v>
      </c>
    </row>
    <row r="126">
      <c r="A126" s="1" t="s">
        <v>528</v>
      </c>
      <c r="B126" s="1" t="s">
        <v>529</v>
      </c>
      <c r="C126" s="1" t="s">
        <v>526</v>
      </c>
      <c r="D126" s="1" t="s">
        <v>529</v>
      </c>
      <c r="E126" s="1" t="s">
        <v>10</v>
      </c>
      <c r="F126" s="1" t="s">
        <v>530</v>
      </c>
      <c r="G126" s="1" t="s">
        <v>531</v>
      </c>
      <c r="H126" s="1">
        <v>5.340706033333333</v>
      </c>
    </row>
    <row r="127">
      <c r="A127" s="1" t="s">
        <v>532</v>
      </c>
      <c r="B127" s="1" t="s">
        <v>533</v>
      </c>
      <c r="C127" s="1" t="s">
        <v>530</v>
      </c>
      <c r="D127" s="1" t="s">
        <v>530</v>
      </c>
      <c r="E127" s="1" t="s">
        <v>534</v>
      </c>
      <c r="F127" s="1" t="s">
        <v>535</v>
      </c>
      <c r="G127" s="1" t="s">
        <v>536</v>
      </c>
      <c r="H127" s="1">
        <v>3.4135418333333334</v>
      </c>
    </row>
    <row r="128">
      <c r="A128" s="1" t="s">
        <v>537</v>
      </c>
      <c r="B128" s="1" t="s">
        <v>538</v>
      </c>
      <c r="C128" s="1" t="s">
        <v>535</v>
      </c>
      <c r="D128" s="1" t="s">
        <v>538</v>
      </c>
      <c r="E128" s="1" t="s">
        <v>10</v>
      </c>
      <c r="F128" s="1" t="s">
        <v>539</v>
      </c>
      <c r="G128" s="1" t="s">
        <v>540</v>
      </c>
      <c r="H128" s="1">
        <v>3.552302216666667</v>
      </c>
    </row>
    <row r="129">
      <c r="A129" s="1" t="s">
        <v>541</v>
      </c>
      <c r="B129" s="1" t="s">
        <v>542</v>
      </c>
      <c r="C129" s="1" t="s">
        <v>539</v>
      </c>
      <c r="D129" s="1" t="s">
        <v>542</v>
      </c>
      <c r="E129" s="1" t="s">
        <v>10</v>
      </c>
      <c r="F129" s="1" t="s">
        <v>543</v>
      </c>
      <c r="G129" s="1" t="s">
        <v>544</v>
      </c>
      <c r="H129" s="1">
        <v>3.925547883333333</v>
      </c>
    </row>
    <row r="130">
      <c r="A130" s="1" t="s">
        <v>545</v>
      </c>
      <c r="B130" s="1" t="s">
        <v>546</v>
      </c>
      <c r="C130" s="1" t="s">
        <v>543</v>
      </c>
      <c r="D130" s="1" t="s">
        <v>546</v>
      </c>
      <c r="E130" s="1" t="s">
        <v>10</v>
      </c>
      <c r="F130" s="1" t="s">
        <v>547</v>
      </c>
      <c r="G130" s="1" t="s">
        <v>548</v>
      </c>
      <c r="H130" s="1">
        <v>3.8278403999999333</v>
      </c>
    </row>
    <row r="131">
      <c r="A131" s="1" t="s">
        <v>549</v>
      </c>
      <c r="B131" s="1" t="s">
        <v>550</v>
      </c>
      <c r="C131" s="1" t="s">
        <v>547</v>
      </c>
      <c r="D131" s="1" t="s">
        <v>550</v>
      </c>
      <c r="E131" s="1" t="s">
        <v>10</v>
      </c>
      <c r="F131" s="1" t="s">
        <v>551</v>
      </c>
      <c r="G131" s="1" t="s">
        <v>552</v>
      </c>
      <c r="H131" s="1">
        <v>3.899102566666667</v>
      </c>
    </row>
    <row r="132">
      <c r="A132" s="1" t="s">
        <v>553</v>
      </c>
      <c r="B132" s="1" t="s">
        <v>554</v>
      </c>
      <c r="C132" s="1" t="s">
        <v>551</v>
      </c>
      <c r="D132" s="1" t="s">
        <v>554</v>
      </c>
      <c r="E132" s="1" t="s">
        <v>10</v>
      </c>
      <c r="F132" s="1" t="s">
        <v>555</v>
      </c>
      <c r="G132" s="1" t="s">
        <v>556</v>
      </c>
      <c r="H132" s="1">
        <v>5.7797581</v>
      </c>
    </row>
    <row r="133">
      <c r="A133" s="1" t="s">
        <v>557</v>
      </c>
      <c r="B133" s="1" t="s">
        <v>558</v>
      </c>
      <c r="C133" s="1" t="s">
        <v>555</v>
      </c>
      <c r="D133" s="1" t="s">
        <v>555</v>
      </c>
      <c r="E133" s="1" t="s">
        <v>559</v>
      </c>
      <c r="F133" s="1" t="s">
        <v>560</v>
      </c>
      <c r="G133" s="1" t="s">
        <v>561</v>
      </c>
      <c r="H133" s="1">
        <v>4.98261566666665</v>
      </c>
    </row>
    <row r="134">
      <c r="A134" s="1" t="s">
        <v>562</v>
      </c>
      <c r="B134" s="1" t="s">
        <v>563</v>
      </c>
      <c r="C134" s="1" t="s">
        <v>560</v>
      </c>
      <c r="D134" s="1" t="s">
        <v>560</v>
      </c>
      <c r="E134" s="1" t="s">
        <v>564</v>
      </c>
      <c r="F134" s="1" t="s">
        <v>565</v>
      </c>
      <c r="G134" s="1" t="s">
        <v>566</v>
      </c>
      <c r="H134" s="1">
        <v>2.07895791666665</v>
      </c>
    </row>
    <row r="135">
      <c r="A135" s="1" t="s">
        <v>567</v>
      </c>
      <c r="B135" s="1" t="s">
        <v>568</v>
      </c>
      <c r="C135" s="1" t="s">
        <v>565</v>
      </c>
      <c r="D135" s="1" t="s">
        <v>568</v>
      </c>
      <c r="E135" s="1" t="s">
        <v>10</v>
      </c>
      <c r="F135" s="1" t="s">
        <v>569</v>
      </c>
      <c r="G135" s="1" t="s">
        <v>570</v>
      </c>
      <c r="H135" s="1">
        <v>3.4694637333333165</v>
      </c>
    </row>
    <row r="136">
      <c r="A136" s="1" t="s">
        <v>571</v>
      </c>
      <c r="B136" s="1" t="s">
        <v>572</v>
      </c>
      <c r="C136" s="1" t="s">
        <v>569</v>
      </c>
      <c r="D136" s="1" t="s">
        <v>572</v>
      </c>
      <c r="E136" s="1" t="s">
        <v>10</v>
      </c>
      <c r="F136" s="1" t="s">
        <v>573</v>
      </c>
      <c r="G136" s="1" t="s">
        <v>574</v>
      </c>
      <c r="H136" s="1">
        <v>3.304981033333267</v>
      </c>
    </row>
    <row r="137">
      <c r="A137" s="1" t="s">
        <v>575</v>
      </c>
      <c r="B137" s="1" t="s">
        <v>576</v>
      </c>
      <c r="C137" s="1" t="s">
        <v>573</v>
      </c>
      <c r="D137" s="1" t="s">
        <v>576</v>
      </c>
      <c r="E137" s="1" t="s">
        <v>10</v>
      </c>
      <c r="F137" s="1" t="s">
        <v>577</v>
      </c>
      <c r="G137" s="1" t="s">
        <v>578</v>
      </c>
      <c r="H137" s="1">
        <v>3.60436855</v>
      </c>
    </row>
    <row r="138">
      <c r="A138" s="1" t="s">
        <v>579</v>
      </c>
      <c r="B138" s="1" t="s">
        <v>580</v>
      </c>
      <c r="C138" s="1" t="s">
        <v>577</v>
      </c>
      <c r="D138" s="1" t="s">
        <v>580</v>
      </c>
      <c r="E138" s="1" t="s">
        <v>10</v>
      </c>
      <c r="F138" s="1" t="s">
        <v>581</v>
      </c>
      <c r="G138" s="1" t="s">
        <v>582</v>
      </c>
      <c r="H138" s="1">
        <v>3.15123878333325</v>
      </c>
    </row>
    <row r="139">
      <c r="A139" s="1" t="s">
        <v>583</v>
      </c>
      <c r="B139" s="1" t="s">
        <v>584</v>
      </c>
      <c r="C139" s="1" t="s">
        <v>581</v>
      </c>
      <c r="D139" s="1" t="s">
        <v>584</v>
      </c>
      <c r="E139" s="1" t="s">
        <v>10</v>
      </c>
      <c r="F139" s="1" t="s">
        <v>585</v>
      </c>
      <c r="G139" s="1" t="s">
        <v>586</v>
      </c>
      <c r="H139" s="1">
        <v>4.319610766666684</v>
      </c>
    </row>
    <row r="140">
      <c r="A140" s="1" t="s">
        <v>587</v>
      </c>
      <c r="B140" s="1" t="s">
        <v>588</v>
      </c>
      <c r="C140" s="1" t="s">
        <v>585</v>
      </c>
      <c r="D140" s="1" t="s">
        <v>588</v>
      </c>
      <c r="E140" s="1" t="s">
        <v>10</v>
      </c>
      <c r="F140" s="1" t="s">
        <v>589</v>
      </c>
      <c r="G140" s="1" t="s">
        <v>590</v>
      </c>
      <c r="H140" s="1">
        <v>3.0218468666666</v>
      </c>
    </row>
    <row r="141">
      <c r="A141" s="1" t="s">
        <v>591</v>
      </c>
      <c r="B141" s="1" t="s">
        <v>592</v>
      </c>
      <c r="C141" s="1" t="s">
        <v>589</v>
      </c>
      <c r="D141" s="1" t="s">
        <v>592</v>
      </c>
      <c r="E141" s="1" t="s">
        <v>10</v>
      </c>
      <c r="F141" s="1" t="s">
        <v>593</v>
      </c>
      <c r="G141" s="1" t="s">
        <v>594</v>
      </c>
      <c r="H141" s="1">
        <v>3.028786033333267</v>
      </c>
    </row>
    <row r="142">
      <c r="A142" s="1" t="s">
        <v>595</v>
      </c>
      <c r="B142" s="1" t="s">
        <v>596</v>
      </c>
      <c r="C142" s="1" t="s">
        <v>593</v>
      </c>
      <c r="D142" s="1" t="s">
        <v>596</v>
      </c>
      <c r="E142" s="1" t="s">
        <v>10</v>
      </c>
      <c r="F142" s="1" t="s">
        <v>597</v>
      </c>
      <c r="G142" s="1" t="s">
        <v>598</v>
      </c>
      <c r="H142" s="1">
        <v>3.7852566499999165</v>
      </c>
    </row>
    <row r="143">
      <c r="A143" s="1" t="s">
        <v>599</v>
      </c>
      <c r="B143" s="1" t="s">
        <v>600</v>
      </c>
      <c r="C143" s="1" t="s">
        <v>597</v>
      </c>
      <c r="D143" s="1" t="s">
        <v>600</v>
      </c>
      <c r="E143" s="1" t="s">
        <v>10</v>
      </c>
      <c r="F143" s="1" t="s">
        <v>601</v>
      </c>
      <c r="G143" s="1" t="s">
        <v>602</v>
      </c>
      <c r="H143" s="1">
        <v>5.412797983333333</v>
      </c>
    </row>
    <row r="144">
      <c r="A144" s="1" t="s">
        <v>603</v>
      </c>
      <c r="B144" s="1" t="s">
        <v>604</v>
      </c>
      <c r="C144" s="1" t="s">
        <v>601</v>
      </c>
      <c r="D144" s="1" t="s">
        <v>601</v>
      </c>
      <c r="E144" s="1" t="s">
        <v>605</v>
      </c>
      <c r="F144" s="1" t="s">
        <v>606</v>
      </c>
      <c r="G144" s="1" t="s">
        <v>607</v>
      </c>
      <c r="H144" s="1">
        <v>3.6525723</v>
      </c>
    </row>
    <row r="145">
      <c r="A145" s="1" t="s">
        <v>608</v>
      </c>
      <c r="B145" s="1" t="s">
        <v>609</v>
      </c>
      <c r="C145" s="1" t="s">
        <v>606</v>
      </c>
      <c r="D145" s="1" t="s">
        <v>609</v>
      </c>
      <c r="E145" s="1" t="s">
        <v>10</v>
      </c>
      <c r="F145" s="1" t="s">
        <v>610</v>
      </c>
    </row>
    <row r="146">
      <c r="E146" s="1">
        <v>1408.05757399999</v>
      </c>
      <c r="F146" s="1">
        <v>3089581.8866819954</v>
      </c>
      <c r="G146" s="1">
        <v>33693.82910799988</v>
      </c>
      <c r="H146" s="1">
        <v>561.5638184666648</v>
      </c>
    </row>
    <row r="147">
      <c r="E147" s="3">
        <v>9.778177597222152</v>
      </c>
      <c r="G147" s="1">
        <v>235.62118257342576</v>
      </c>
    </row>
    <row r="148">
      <c r="E148" s="3">
        <v>0.1629696266203692</v>
      </c>
      <c r="G148" s="1">
        <v>3.927019709557096</v>
      </c>
      <c r="H148" s="1">
        <v>3.9270197095570962</v>
      </c>
    </row>
    <row r="149">
      <c r="E149" s="3">
        <v>0.0027161604436728203</v>
      </c>
      <c r="G149" s="4">
        <v>0.06545032849261827</v>
      </c>
    </row>
    <row r="150">
      <c r="G150" s="5" t="s">
        <v>611</v>
      </c>
    </row>
    <row r="151">
      <c r="A151" s="6" t="s">
        <v>612</v>
      </c>
      <c r="B151" s="3"/>
      <c r="C151" s="3">
        <v>0.03259392532407384</v>
      </c>
    </row>
    <row r="152">
      <c r="F152" s="1">
        <v>43681.886681995355</v>
      </c>
      <c r="G152" s="1">
        <v>35101.88668199987</v>
      </c>
    </row>
    <row r="153">
      <c r="F153" s="1">
        <v>305.46773903493255</v>
      </c>
      <c r="G153" s="1">
        <v>245.46773903496415</v>
      </c>
    </row>
    <row r="154">
      <c r="A154" s="6" t="s">
        <v>613</v>
      </c>
      <c r="F154" s="1">
        <v>5.091128983915542</v>
      </c>
      <c r="G154" s="1">
        <v>4.091128983916069</v>
      </c>
    </row>
    <row r="155">
      <c r="A155" s="5" t="s">
        <v>614</v>
      </c>
      <c r="F155" s="1">
        <v>0.0848521497319257</v>
      </c>
      <c r="G155" s="4">
        <v>0.06818548306526781</v>
      </c>
    </row>
    <row r="156">
      <c r="G156" s="5" t="s">
        <v>615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86"/>
    <col customWidth="1" min="2" max="2" width="21.0"/>
    <col customWidth="1" min="3" max="3" width="34.0"/>
    <col customWidth="1" min="4" max="4" width="21.0"/>
    <col customWidth="1" min="5" max="5" width="22.0"/>
    <col customWidth="1" min="6" max="6" width="23.0"/>
    <col customWidth="1" min="7" max="7" width="20.0"/>
    <col customWidth="1" min="8" max="8" width="18.14"/>
    <col customWidth="1" min="9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14.25" customHeight="1">
      <c r="A2" s="1" t="s">
        <v>8</v>
      </c>
      <c r="B2" s="1" t="s">
        <v>9</v>
      </c>
      <c r="C2" s="1" t="s">
        <v>10</v>
      </c>
      <c r="D2" s="1" t="s">
        <v>9</v>
      </c>
      <c r="E2" s="1" t="s">
        <v>10</v>
      </c>
      <c r="F2" s="1" t="s">
        <v>11</v>
      </c>
      <c r="G2" s="1" t="s">
        <v>12</v>
      </c>
      <c r="H2" s="1">
        <f t="shared" ref="H2:H144" si="1">(G2/60)</f>
        <v>4734392.183</v>
      </c>
    </row>
    <row r="3" ht="14.25" customHeight="1">
      <c r="A3" s="1" t="s">
        <v>13</v>
      </c>
      <c r="B3" s="1" t="s">
        <v>14</v>
      </c>
      <c r="C3" s="1" t="s">
        <v>11</v>
      </c>
      <c r="D3" s="1" t="s">
        <v>14</v>
      </c>
      <c r="E3" s="1" t="s">
        <v>10</v>
      </c>
      <c r="F3" s="1" t="s">
        <v>15</v>
      </c>
      <c r="G3" s="1" t="s">
        <v>16</v>
      </c>
      <c r="H3" s="1">
        <f t="shared" si="1"/>
        <v>3673080.267</v>
      </c>
    </row>
    <row r="4" ht="14.25" customHeight="1">
      <c r="A4" s="1" t="s">
        <v>17</v>
      </c>
      <c r="B4" s="1" t="s">
        <v>18</v>
      </c>
      <c r="C4" s="1" t="s">
        <v>15</v>
      </c>
      <c r="D4" s="1" t="s">
        <v>18</v>
      </c>
      <c r="E4" s="1" t="s">
        <v>10</v>
      </c>
      <c r="F4" s="1" t="s">
        <v>19</v>
      </c>
      <c r="G4" s="1" t="s">
        <v>20</v>
      </c>
      <c r="H4" s="1">
        <f t="shared" si="1"/>
        <v>3787363.033</v>
      </c>
    </row>
    <row r="5" ht="14.25" customHeight="1">
      <c r="A5" s="1" t="s">
        <v>21</v>
      </c>
      <c r="B5" s="1" t="s">
        <v>22</v>
      </c>
      <c r="C5" s="1" t="s">
        <v>19</v>
      </c>
      <c r="D5" s="1" t="s">
        <v>22</v>
      </c>
      <c r="E5" s="1" t="s">
        <v>10</v>
      </c>
      <c r="F5" s="1" t="s">
        <v>23</v>
      </c>
      <c r="G5" s="1" t="s">
        <v>24</v>
      </c>
      <c r="H5" s="1">
        <f t="shared" si="1"/>
        <v>3872007.567</v>
      </c>
    </row>
    <row r="6" ht="14.25" customHeight="1">
      <c r="A6" s="1" t="s">
        <v>25</v>
      </c>
      <c r="B6" s="1" t="s">
        <v>26</v>
      </c>
      <c r="C6" s="1" t="s">
        <v>23</v>
      </c>
      <c r="D6" s="1" t="s">
        <v>26</v>
      </c>
      <c r="E6" s="1" t="s">
        <v>10</v>
      </c>
      <c r="F6" s="1" t="s">
        <v>27</v>
      </c>
      <c r="G6" s="1" t="s">
        <v>28</v>
      </c>
      <c r="H6" s="1">
        <f t="shared" si="1"/>
        <v>2484196.633</v>
      </c>
    </row>
    <row r="7" ht="14.25" customHeight="1">
      <c r="A7" s="1" t="s">
        <v>29</v>
      </c>
      <c r="B7" s="1" t="s">
        <v>30</v>
      </c>
      <c r="C7" s="1" t="s">
        <v>27</v>
      </c>
      <c r="D7" s="1" t="s">
        <v>30</v>
      </c>
      <c r="E7" s="1" t="s">
        <v>10</v>
      </c>
      <c r="F7" s="1" t="s">
        <v>31</v>
      </c>
      <c r="G7" s="1" t="s">
        <v>32</v>
      </c>
      <c r="H7" s="1">
        <f t="shared" si="1"/>
        <v>3444564.967</v>
      </c>
    </row>
    <row r="8" ht="14.25" customHeight="1">
      <c r="A8" s="1" t="s">
        <v>33</v>
      </c>
      <c r="B8" s="1" t="s">
        <v>34</v>
      </c>
      <c r="C8" s="1" t="s">
        <v>31</v>
      </c>
      <c r="D8" s="1" t="s">
        <v>34</v>
      </c>
      <c r="E8" s="1" t="s">
        <v>10</v>
      </c>
      <c r="F8" s="1" t="s">
        <v>35</v>
      </c>
      <c r="G8" s="1" t="s">
        <v>36</v>
      </c>
      <c r="H8" s="1">
        <f t="shared" si="1"/>
        <v>4125596.95</v>
      </c>
    </row>
    <row r="9" ht="14.25" customHeight="1">
      <c r="A9" s="1" t="s">
        <v>37</v>
      </c>
      <c r="B9" s="1" t="s">
        <v>38</v>
      </c>
      <c r="C9" s="1" t="s">
        <v>35</v>
      </c>
      <c r="D9" s="1" t="s">
        <v>38</v>
      </c>
      <c r="E9" s="1" t="s">
        <v>10</v>
      </c>
      <c r="F9" s="1" t="s">
        <v>39</v>
      </c>
      <c r="G9" s="1" t="s">
        <v>40</v>
      </c>
      <c r="H9" s="1">
        <f t="shared" si="1"/>
        <v>5468261.65</v>
      </c>
    </row>
    <row r="10" ht="14.25" customHeight="1">
      <c r="A10" s="1" t="s">
        <v>41</v>
      </c>
      <c r="B10" s="1" t="s">
        <v>42</v>
      </c>
      <c r="C10" s="1" t="s">
        <v>39</v>
      </c>
      <c r="D10" s="1" t="s">
        <v>39</v>
      </c>
      <c r="E10" s="1" t="s">
        <v>43</v>
      </c>
      <c r="F10" s="1" t="s">
        <v>44</v>
      </c>
      <c r="G10" s="1" t="s">
        <v>45</v>
      </c>
      <c r="H10" s="1">
        <f t="shared" si="1"/>
        <v>3272654.183</v>
      </c>
    </row>
    <row r="11" ht="14.25" customHeight="1">
      <c r="A11" s="1" t="s">
        <v>46</v>
      </c>
      <c r="B11" s="1" t="s">
        <v>47</v>
      </c>
      <c r="C11" s="1" t="s">
        <v>44</v>
      </c>
      <c r="D11" s="1" t="s">
        <v>47</v>
      </c>
      <c r="E11" s="1" t="s">
        <v>10</v>
      </c>
      <c r="F11" s="1" t="s">
        <v>48</v>
      </c>
      <c r="G11" s="1" t="s">
        <v>49</v>
      </c>
      <c r="H11" s="1">
        <f t="shared" si="1"/>
        <v>4200126.467</v>
      </c>
    </row>
    <row r="12" ht="14.25" customHeight="1">
      <c r="A12" s="1" t="s">
        <v>50</v>
      </c>
      <c r="B12" s="1" t="s">
        <v>51</v>
      </c>
      <c r="C12" s="1" t="s">
        <v>48</v>
      </c>
      <c r="D12" s="1" t="s">
        <v>51</v>
      </c>
      <c r="E12" s="1" t="s">
        <v>10</v>
      </c>
      <c r="F12" s="1" t="s">
        <v>52</v>
      </c>
      <c r="G12" s="1" t="s">
        <v>53</v>
      </c>
      <c r="H12" s="1">
        <f t="shared" si="1"/>
        <v>3778441.367</v>
      </c>
    </row>
    <row r="13" ht="14.25" customHeight="1">
      <c r="A13" s="1" t="s">
        <v>54</v>
      </c>
      <c r="B13" s="1" t="s">
        <v>55</v>
      </c>
      <c r="C13" s="1" t="s">
        <v>52</v>
      </c>
      <c r="D13" s="1" t="s">
        <v>55</v>
      </c>
      <c r="E13" s="1" t="s">
        <v>10</v>
      </c>
      <c r="F13" s="1" t="s">
        <v>56</v>
      </c>
      <c r="G13" s="1" t="s">
        <v>57</v>
      </c>
      <c r="H13" s="1">
        <f t="shared" si="1"/>
        <v>4930611.783</v>
      </c>
    </row>
    <row r="14" ht="14.25" customHeight="1">
      <c r="A14" s="1" t="s">
        <v>58</v>
      </c>
      <c r="B14" s="1" t="s">
        <v>59</v>
      </c>
      <c r="C14" s="1" t="s">
        <v>56</v>
      </c>
      <c r="D14" s="1" t="s">
        <v>59</v>
      </c>
      <c r="E14" s="1" t="s">
        <v>10</v>
      </c>
      <c r="F14" s="1" t="s">
        <v>60</v>
      </c>
      <c r="G14" s="1" t="s">
        <v>61</v>
      </c>
      <c r="H14" s="1">
        <f t="shared" si="1"/>
        <v>387465819999998</v>
      </c>
    </row>
    <row r="15" ht="14.25" customHeight="1">
      <c r="A15" s="1" t="s">
        <v>62</v>
      </c>
      <c r="B15" s="1" t="s">
        <v>63</v>
      </c>
      <c r="C15" s="1" t="s">
        <v>60</v>
      </c>
      <c r="D15" s="1" t="s">
        <v>63</v>
      </c>
      <c r="E15" s="1" t="s">
        <v>10</v>
      </c>
      <c r="F15" s="1" t="s">
        <v>64</v>
      </c>
      <c r="G15" s="1" t="s">
        <v>65</v>
      </c>
      <c r="H15" s="1">
        <f t="shared" si="1"/>
        <v>262473686666665</v>
      </c>
    </row>
    <row r="16" ht="14.25" customHeight="1">
      <c r="A16" s="1" t="s">
        <v>66</v>
      </c>
      <c r="B16" s="1" t="s">
        <v>67</v>
      </c>
      <c r="C16" s="1" t="s">
        <v>64</v>
      </c>
      <c r="D16" s="1" t="s">
        <v>67</v>
      </c>
      <c r="E16" s="1" t="s">
        <v>10</v>
      </c>
      <c r="F16" s="1" t="s">
        <v>68</v>
      </c>
      <c r="G16" s="1" t="s">
        <v>69</v>
      </c>
      <c r="H16" s="1">
        <f t="shared" si="1"/>
        <v>37376197000000</v>
      </c>
    </row>
    <row r="17" ht="14.25" customHeight="1">
      <c r="A17" s="1" t="s">
        <v>70</v>
      </c>
      <c r="B17" s="1" t="s">
        <v>71</v>
      </c>
      <c r="C17" s="1" t="s">
        <v>68</v>
      </c>
      <c r="D17" s="1" t="s">
        <v>71</v>
      </c>
      <c r="E17" s="1" t="s">
        <v>10</v>
      </c>
      <c r="F17" s="1" t="s">
        <v>72</v>
      </c>
      <c r="G17" s="1" t="s">
        <v>73</v>
      </c>
      <c r="H17" s="1">
        <f t="shared" si="1"/>
        <v>3797668.383</v>
      </c>
    </row>
    <row r="18" ht="14.25" customHeight="1">
      <c r="A18" s="1" t="s">
        <v>74</v>
      </c>
      <c r="B18" s="1" t="s">
        <v>75</v>
      </c>
      <c r="C18" s="1" t="s">
        <v>72</v>
      </c>
      <c r="D18" s="1" t="s">
        <v>75</v>
      </c>
      <c r="E18" s="1" t="s">
        <v>10</v>
      </c>
      <c r="F18" s="1" t="s">
        <v>76</v>
      </c>
      <c r="G18" s="1" t="s">
        <v>77</v>
      </c>
      <c r="H18" s="1">
        <f t="shared" si="1"/>
        <v>384247676666665</v>
      </c>
    </row>
    <row r="19" ht="14.25" customHeight="1">
      <c r="A19" s="1" t="s">
        <v>78</v>
      </c>
      <c r="B19" s="1" t="s">
        <v>79</v>
      </c>
      <c r="C19" s="1" t="s">
        <v>76</v>
      </c>
      <c r="D19" s="1" t="s">
        <v>79</v>
      </c>
      <c r="E19" s="1" t="s">
        <v>10</v>
      </c>
      <c r="F19" s="1" t="s">
        <v>80</v>
      </c>
      <c r="G19" s="1" t="s">
        <v>81</v>
      </c>
      <c r="H19" s="1">
        <f t="shared" si="1"/>
        <v>49088613000000</v>
      </c>
    </row>
    <row r="20" ht="14.25" customHeight="1">
      <c r="A20" s="1" t="s">
        <v>82</v>
      </c>
      <c r="B20" s="1" t="s">
        <v>83</v>
      </c>
      <c r="C20" s="1" t="s">
        <v>80</v>
      </c>
      <c r="D20" s="1" t="s">
        <v>83</v>
      </c>
      <c r="E20" s="1" t="s">
        <v>10</v>
      </c>
      <c r="F20" s="1" t="s">
        <v>84</v>
      </c>
      <c r="G20" s="1" t="s">
        <v>85</v>
      </c>
      <c r="H20" s="1">
        <f t="shared" si="1"/>
        <v>292205161666665</v>
      </c>
    </row>
    <row r="21" ht="14.25" customHeight="1">
      <c r="A21" s="1" t="s">
        <v>86</v>
      </c>
      <c r="B21" s="1" t="s">
        <v>87</v>
      </c>
      <c r="C21" s="1" t="s">
        <v>84</v>
      </c>
      <c r="D21" s="1" t="s">
        <v>87</v>
      </c>
      <c r="E21" s="1" t="s">
        <v>10</v>
      </c>
      <c r="F21" s="1" t="s">
        <v>88</v>
      </c>
      <c r="G21" s="1" t="s">
        <v>89</v>
      </c>
      <c r="H21" s="1">
        <f t="shared" si="1"/>
        <v>5861180.267</v>
      </c>
    </row>
    <row r="22" ht="14.25" customHeight="1">
      <c r="A22" s="1" t="s">
        <v>90</v>
      </c>
      <c r="B22" s="1" t="s">
        <v>91</v>
      </c>
      <c r="C22" s="1" t="s">
        <v>88</v>
      </c>
      <c r="D22" s="1" t="s">
        <v>88</v>
      </c>
      <c r="E22" s="1" t="s">
        <v>92</v>
      </c>
      <c r="F22" s="1" t="s">
        <v>93</v>
      </c>
      <c r="G22" s="1" t="s">
        <v>94</v>
      </c>
      <c r="H22" s="1">
        <f t="shared" si="1"/>
        <v>6200490583333</v>
      </c>
    </row>
    <row r="23" ht="14.25" customHeight="1">
      <c r="A23" s="1" t="s">
        <v>95</v>
      </c>
      <c r="B23" s="1" t="s">
        <v>96</v>
      </c>
      <c r="C23" s="1" t="s">
        <v>93</v>
      </c>
      <c r="D23" s="1" t="s">
        <v>93</v>
      </c>
      <c r="E23" s="1" t="s">
        <v>97</v>
      </c>
      <c r="F23" s="1" t="s">
        <v>98</v>
      </c>
      <c r="G23" s="1" t="s">
        <v>99</v>
      </c>
      <c r="H23" s="1">
        <f t="shared" si="1"/>
        <v>45719588000000</v>
      </c>
    </row>
    <row r="24" ht="14.25" customHeight="1">
      <c r="A24" s="1" t="s">
        <v>100</v>
      </c>
      <c r="B24" s="1" t="s">
        <v>101</v>
      </c>
      <c r="C24" s="1" t="s">
        <v>98</v>
      </c>
      <c r="D24" s="1" t="s">
        <v>98</v>
      </c>
      <c r="E24" s="1" t="s">
        <v>102</v>
      </c>
      <c r="F24" s="1" t="s">
        <v>103</v>
      </c>
      <c r="G24" s="1" t="s">
        <v>104</v>
      </c>
      <c r="H24" s="1">
        <f t="shared" si="1"/>
        <v>163179736666665</v>
      </c>
    </row>
    <row r="25" ht="14.25" customHeight="1">
      <c r="A25" s="1" t="s">
        <v>105</v>
      </c>
      <c r="B25" s="1" t="s">
        <v>106</v>
      </c>
      <c r="C25" s="1" t="s">
        <v>103</v>
      </c>
      <c r="D25" s="1" t="s">
        <v>106</v>
      </c>
      <c r="E25" s="1" t="s">
        <v>10</v>
      </c>
      <c r="F25" s="1" t="s">
        <v>107</v>
      </c>
      <c r="G25" s="1" t="s">
        <v>108</v>
      </c>
      <c r="H25" s="1">
        <f t="shared" si="1"/>
        <v>4526845.533</v>
      </c>
    </row>
    <row r="26" ht="14.25" customHeight="1">
      <c r="A26" s="1" t="s">
        <v>109</v>
      </c>
      <c r="B26" s="1" t="s">
        <v>110</v>
      </c>
      <c r="C26" s="1" t="s">
        <v>107</v>
      </c>
      <c r="D26" s="1" t="s">
        <v>110</v>
      </c>
      <c r="E26" s="1" t="s">
        <v>10</v>
      </c>
      <c r="F26" s="1" t="s">
        <v>111</v>
      </c>
      <c r="G26" s="1" t="s">
        <v>112</v>
      </c>
      <c r="H26" s="1">
        <f t="shared" si="1"/>
        <v>32772963333333</v>
      </c>
    </row>
    <row r="27" ht="14.25" customHeight="1">
      <c r="A27" s="1" t="s">
        <v>113</v>
      </c>
      <c r="B27" s="1" t="s">
        <v>114</v>
      </c>
      <c r="C27" s="1" t="s">
        <v>111</v>
      </c>
      <c r="D27" s="1" t="s">
        <v>114</v>
      </c>
      <c r="E27" s="1" t="s">
        <v>10</v>
      </c>
      <c r="F27" s="1" t="s">
        <v>115</v>
      </c>
      <c r="G27" s="1" t="s">
        <v>116</v>
      </c>
      <c r="H27" s="1">
        <f t="shared" si="1"/>
        <v>527343238333333</v>
      </c>
    </row>
    <row r="28" ht="14.25" customHeight="1">
      <c r="A28" s="1" t="s">
        <v>117</v>
      </c>
      <c r="B28" s="1" t="s">
        <v>118</v>
      </c>
      <c r="C28" s="1" t="s">
        <v>115</v>
      </c>
      <c r="D28" s="1" t="s">
        <v>115</v>
      </c>
      <c r="E28" s="1" t="s">
        <v>119</v>
      </c>
      <c r="F28" s="1" t="s">
        <v>120</v>
      </c>
      <c r="G28" s="1" t="s">
        <v>121</v>
      </c>
      <c r="H28" s="1">
        <f t="shared" si="1"/>
        <v>375875379999998</v>
      </c>
    </row>
    <row r="29" ht="14.25" customHeight="1">
      <c r="A29" s="1" t="s">
        <v>122</v>
      </c>
      <c r="B29" s="1" t="s">
        <v>123</v>
      </c>
      <c r="C29" s="1" t="s">
        <v>120</v>
      </c>
      <c r="D29" s="1" t="s">
        <v>123</v>
      </c>
      <c r="E29" s="1" t="s">
        <v>10</v>
      </c>
      <c r="F29" s="1" t="s">
        <v>124</v>
      </c>
      <c r="G29" s="1" t="s">
        <v>125</v>
      </c>
      <c r="H29" s="1">
        <f t="shared" si="1"/>
        <v>46489853833333</v>
      </c>
    </row>
    <row r="30" ht="14.25" customHeight="1">
      <c r="A30" s="1" t="s">
        <v>126</v>
      </c>
      <c r="B30" s="1" t="s">
        <v>127</v>
      </c>
      <c r="C30" s="1" t="s">
        <v>124</v>
      </c>
      <c r="D30" s="1" t="s">
        <v>127</v>
      </c>
      <c r="E30" s="1" t="s">
        <v>10</v>
      </c>
      <c r="F30" s="1" t="s">
        <v>128</v>
      </c>
      <c r="G30" s="1" t="s">
        <v>129</v>
      </c>
      <c r="H30" s="1">
        <f t="shared" si="1"/>
        <v>39672401833333</v>
      </c>
    </row>
    <row r="31" ht="14.25" customHeight="1">
      <c r="A31" s="1" t="s">
        <v>130</v>
      </c>
      <c r="B31" s="1" t="s">
        <v>131</v>
      </c>
      <c r="C31" s="1" t="s">
        <v>128</v>
      </c>
      <c r="D31" s="1" t="s">
        <v>131</v>
      </c>
      <c r="E31" s="1" t="s">
        <v>10</v>
      </c>
      <c r="F31" s="1" t="s">
        <v>132</v>
      </c>
      <c r="G31" s="1" t="s">
        <v>133</v>
      </c>
      <c r="H31" s="1">
        <f t="shared" si="1"/>
        <v>274172303333332</v>
      </c>
    </row>
    <row r="32" ht="14.25" customHeight="1">
      <c r="A32" s="1" t="s">
        <v>134</v>
      </c>
      <c r="B32" s="1" t="s">
        <v>135</v>
      </c>
      <c r="C32" s="1" t="s">
        <v>132</v>
      </c>
      <c r="D32" s="1" t="s">
        <v>135</v>
      </c>
      <c r="E32" s="1" t="s">
        <v>10</v>
      </c>
      <c r="F32" s="1" t="s">
        <v>136</v>
      </c>
      <c r="G32" s="1" t="s">
        <v>137</v>
      </c>
      <c r="H32" s="1">
        <f t="shared" si="1"/>
        <v>28094178666667</v>
      </c>
    </row>
    <row r="33" ht="14.25" customHeight="1">
      <c r="A33" s="1" t="s">
        <v>138</v>
      </c>
      <c r="B33" s="1" t="s">
        <v>139</v>
      </c>
      <c r="C33" s="1" t="s">
        <v>136</v>
      </c>
      <c r="D33" s="1" t="s">
        <v>139</v>
      </c>
      <c r="E33" s="1" t="s">
        <v>10</v>
      </c>
      <c r="F33" s="1" t="s">
        <v>140</v>
      </c>
      <c r="G33" s="1" t="s">
        <v>141</v>
      </c>
      <c r="H33" s="1">
        <f t="shared" si="1"/>
        <v>47504801500000</v>
      </c>
    </row>
    <row r="34" ht="14.25" customHeight="1">
      <c r="A34" s="1" t="s">
        <v>142</v>
      </c>
      <c r="B34" s="1" t="s">
        <v>143</v>
      </c>
      <c r="C34" s="1" t="s">
        <v>140</v>
      </c>
      <c r="D34" s="1" t="s">
        <v>143</v>
      </c>
      <c r="E34" s="1" t="s">
        <v>10</v>
      </c>
      <c r="F34" s="1" t="s">
        <v>144</v>
      </c>
      <c r="G34" s="1" t="s">
        <v>145</v>
      </c>
      <c r="H34" s="1">
        <f t="shared" si="1"/>
        <v>353156711666667</v>
      </c>
    </row>
    <row r="35" ht="14.25" customHeight="1">
      <c r="A35" s="1" t="s">
        <v>146</v>
      </c>
      <c r="B35" s="1" t="s">
        <v>147</v>
      </c>
      <c r="C35" s="1" t="s">
        <v>144</v>
      </c>
      <c r="D35" s="1" t="s">
        <v>147</v>
      </c>
      <c r="E35" s="1" t="s">
        <v>10</v>
      </c>
      <c r="F35" s="1" t="s">
        <v>148</v>
      </c>
      <c r="G35" s="1" t="s">
        <v>149</v>
      </c>
      <c r="H35" s="1">
        <f t="shared" si="1"/>
        <v>40624220000000</v>
      </c>
    </row>
    <row r="36" ht="14.25" customHeight="1">
      <c r="A36" s="1" t="s">
        <v>150</v>
      </c>
      <c r="B36" s="1" t="s">
        <v>151</v>
      </c>
      <c r="C36" s="1" t="s">
        <v>148</v>
      </c>
      <c r="D36" s="1" t="s">
        <v>151</v>
      </c>
      <c r="E36" s="1" t="s">
        <v>10</v>
      </c>
      <c r="F36" s="1" t="s">
        <v>152</v>
      </c>
      <c r="G36" s="1" t="s">
        <v>153</v>
      </c>
      <c r="H36" s="1">
        <f t="shared" si="1"/>
        <v>542327165000002</v>
      </c>
    </row>
    <row r="37" ht="14.25" customHeight="1">
      <c r="A37" s="1" t="s">
        <v>154</v>
      </c>
      <c r="B37" s="1" t="s">
        <v>155</v>
      </c>
      <c r="C37" s="1" t="s">
        <v>152</v>
      </c>
      <c r="D37" s="1" t="s">
        <v>152</v>
      </c>
      <c r="E37" s="1" t="s">
        <v>156</v>
      </c>
      <c r="F37" s="1" t="s">
        <v>157</v>
      </c>
      <c r="G37" s="1" t="s">
        <v>158</v>
      </c>
      <c r="H37" s="1">
        <f t="shared" si="1"/>
        <v>56509911166667</v>
      </c>
    </row>
    <row r="38" ht="14.25" customHeight="1">
      <c r="A38" s="1" t="s">
        <v>159</v>
      </c>
      <c r="B38" s="1" t="s">
        <v>160</v>
      </c>
      <c r="C38" s="1" t="s">
        <v>157</v>
      </c>
      <c r="D38" s="1" t="s">
        <v>157</v>
      </c>
      <c r="E38" s="1" t="s">
        <v>161</v>
      </c>
      <c r="F38" s="1" t="s">
        <v>162</v>
      </c>
      <c r="G38" s="1" t="s">
        <v>163</v>
      </c>
      <c r="H38" s="1">
        <f t="shared" si="1"/>
        <v>398934574999998</v>
      </c>
    </row>
    <row r="39" ht="14.25" customHeight="1">
      <c r="A39" s="1" t="s">
        <v>164</v>
      </c>
      <c r="B39" s="1" t="s">
        <v>165</v>
      </c>
      <c r="C39" s="1" t="s">
        <v>162</v>
      </c>
      <c r="D39" s="1" t="s">
        <v>162</v>
      </c>
      <c r="E39" s="1" t="s">
        <v>166</v>
      </c>
      <c r="F39" s="1" t="s">
        <v>167</v>
      </c>
      <c r="G39" s="1" t="s">
        <v>168</v>
      </c>
      <c r="H39" s="1">
        <f t="shared" si="1"/>
        <v>56868154500000</v>
      </c>
    </row>
    <row r="40" ht="14.25" customHeight="1">
      <c r="A40" s="1" t="s">
        <v>169</v>
      </c>
      <c r="B40" s="1" t="s">
        <v>170</v>
      </c>
      <c r="C40" s="1" t="s">
        <v>167</v>
      </c>
      <c r="D40" s="1" t="s">
        <v>167</v>
      </c>
      <c r="E40" s="1" t="s">
        <v>171</v>
      </c>
      <c r="F40" s="1" t="s">
        <v>172</v>
      </c>
      <c r="G40" s="1" t="s">
        <v>173</v>
      </c>
      <c r="H40" s="1">
        <f t="shared" si="1"/>
        <v>40253620500000</v>
      </c>
    </row>
    <row r="41" ht="14.25" customHeight="1">
      <c r="A41" s="1" t="s">
        <v>174</v>
      </c>
      <c r="B41" s="1" t="s">
        <v>175</v>
      </c>
      <c r="C41" s="1" t="s">
        <v>172</v>
      </c>
      <c r="D41" s="1" t="s">
        <v>175</v>
      </c>
      <c r="E41" s="1" t="s">
        <v>10</v>
      </c>
      <c r="F41" s="1" t="s">
        <v>176</v>
      </c>
      <c r="G41" s="1" t="s">
        <v>177</v>
      </c>
      <c r="H41" s="1">
        <f t="shared" si="1"/>
        <v>418241343333333</v>
      </c>
    </row>
    <row r="42" ht="14.25" customHeight="1">
      <c r="A42" s="1" t="s">
        <v>178</v>
      </c>
      <c r="B42" s="1" t="s">
        <v>179</v>
      </c>
      <c r="C42" s="1" t="s">
        <v>176</v>
      </c>
      <c r="D42" s="1" t="s">
        <v>179</v>
      </c>
      <c r="E42" s="1" t="s">
        <v>10</v>
      </c>
      <c r="F42" s="1" t="s">
        <v>180</v>
      </c>
      <c r="G42" s="1" t="s">
        <v>181</v>
      </c>
      <c r="H42" s="1">
        <f t="shared" si="1"/>
        <v>234817923333333</v>
      </c>
    </row>
    <row r="43" ht="14.25" customHeight="1">
      <c r="A43" s="1" t="s">
        <v>182</v>
      </c>
      <c r="B43" s="1" t="s">
        <v>183</v>
      </c>
      <c r="C43" s="1" t="s">
        <v>180</v>
      </c>
      <c r="D43" s="1" t="s">
        <v>183</v>
      </c>
      <c r="E43" s="1" t="s">
        <v>10</v>
      </c>
      <c r="F43" s="1" t="s">
        <v>184</v>
      </c>
      <c r="G43" s="1" t="s">
        <v>185</v>
      </c>
      <c r="H43" s="1">
        <f t="shared" si="1"/>
        <v>37010677000000</v>
      </c>
    </row>
    <row r="44" ht="14.25" customHeight="1">
      <c r="A44" s="1" t="s">
        <v>186</v>
      </c>
      <c r="B44" s="1" t="s">
        <v>187</v>
      </c>
      <c r="C44" s="1" t="s">
        <v>184</v>
      </c>
      <c r="D44" s="1" t="s">
        <v>187</v>
      </c>
      <c r="E44" s="1" t="s">
        <v>10</v>
      </c>
      <c r="F44" s="1" t="s">
        <v>188</v>
      </c>
      <c r="G44" s="1" t="s">
        <v>189</v>
      </c>
      <c r="H44" s="1">
        <f t="shared" si="1"/>
        <v>30406309000000</v>
      </c>
    </row>
    <row r="45" ht="14.25" customHeight="1">
      <c r="A45" s="1" t="s">
        <v>190</v>
      </c>
      <c r="B45" s="1" t="s">
        <v>191</v>
      </c>
      <c r="C45" s="1" t="s">
        <v>188</v>
      </c>
      <c r="D45" s="1" t="s">
        <v>191</v>
      </c>
      <c r="E45" s="1" t="s">
        <v>10</v>
      </c>
      <c r="F45" s="1" t="s">
        <v>192</v>
      </c>
      <c r="G45" s="1" t="s">
        <v>193</v>
      </c>
      <c r="H45" s="1">
        <f t="shared" si="1"/>
        <v>57587872666667</v>
      </c>
    </row>
    <row r="46" ht="14.25" customHeight="1">
      <c r="A46" s="1" t="s">
        <v>194</v>
      </c>
      <c r="B46" s="1" t="s">
        <v>195</v>
      </c>
      <c r="C46" s="1" t="s">
        <v>192</v>
      </c>
      <c r="D46" s="1" t="s">
        <v>192</v>
      </c>
      <c r="E46" s="1" t="s">
        <v>196</v>
      </c>
      <c r="F46" s="1" t="s">
        <v>197</v>
      </c>
      <c r="G46" s="1" t="s">
        <v>198</v>
      </c>
      <c r="H46" s="1">
        <f t="shared" si="1"/>
        <v>21807433833333</v>
      </c>
    </row>
    <row r="47" ht="14.25" customHeight="1">
      <c r="A47" s="1" t="s">
        <v>199</v>
      </c>
      <c r="B47" s="1" t="s">
        <v>200</v>
      </c>
      <c r="C47" s="1" t="s">
        <v>197</v>
      </c>
      <c r="D47" s="1" t="s">
        <v>200</v>
      </c>
      <c r="E47" s="1" t="s">
        <v>10</v>
      </c>
      <c r="F47" s="1" t="s">
        <v>201</v>
      </c>
      <c r="G47" s="1" t="s">
        <v>202</v>
      </c>
      <c r="H47" s="1">
        <f t="shared" si="1"/>
        <v>244220571666665</v>
      </c>
    </row>
    <row r="48" ht="14.25" customHeight="1">
      <c r="A48" s="1" t="s">
        <v>203</v>
      </c>
      <c r="B48" s="1" t="s">
        <v>204</v>
      </c>
      <c r="C48" s="1" t="s">
        <v>201</v>
      </c>
      <c r="D48" s="1" t="s">
        <v>204</v>
      </c>
      <c r="E48" s="1" t="s">
        <v>10</v>
      </c>
      <c r="F48" s="1" t="s">
        <v>205</v>
      </c>
      <c r="G48" s="1" t="s">
        <v>206</v>
      </c>
      <c r="H48" s="1">
        <f t="shared" si="1"/>
        <v>39072198333334</v>
      </c>
    </row>
    <row r="49" ht="14.25" customHeight="1">
      <c r="A49" s="1" t="s">
        <v>207</v>
      </c>
      <c r="B49" s="1" t="s">
        <v>208</v>
      </c>
      <c r="C49" s="1" t="s">
        <v>205</v>
      </c>
      <c r="D49" s="1" t="s">
        <v>208</v>
      </c>
      <c r="E49" s="1" t="s">
        <v>10</v>
      </c>
      <c r="F49" s="1" t="s">
        <v>209</v>
      </c>
      <c r="G49" s="1" t="s">
        <v>210</v>
      </c>
      <c r="H49" s="1">
        <f t="shared" si="1"/>
        <v>353179916666665</v>
      </c>
    </row>
    <row r="50" ht="14.25" customHeight="1">
      <c r="A50" s="1" t="s">
        <v>211</v>
      </c>
      <c r="B50" s="1" t="s">
        <v>212</v>
      </c>
      <c r="C50" s="1" t="s">
        <v>209</v>
      </c>
      <c r="D50" s="1" t="s">
        <v>212</v>
      </c>
      <c r="E50" s="1" t="s">
        <v>10</v>
      </c>
      <c r="F50" s="1" t="s">
        <v>213</v>
      </c>
      <c r="G50" s="1" t="s">
        <v>214</v>
      </c>
      <c r="H50" s="1">
        <f t="shared" si="1"/>
        <v>41779477500000</v>
      </c>
    </row>
    <row r="51" ht="14.25" customHeight="1">
      <c r="A51" s="1" t="s">
        <v>215</v>
      </c>
      <c r="B51" s="1" t="s">
        <v>216</v>
      </c>
      <c r="C51" s="1" t="s">
        <v>213</v>
      </c>
      <c r="D51" s="1" t="s">
        <v>216</v>
      </c>
      <c r="E51" s="1" t="s">
        <v>10</v>
      </c>
      <c r="F51" s="1" t="s">
        <v>217</v>
      </c>
      <c r="G51" s="1" t="s">
        <v>218</v>
      </c>
      <c r="H51" s="1">
        <f t="shared" si="1"/>
        <v>424406761666667</v>
      </c>
    </row>
    <row r="52" ht="14.25" customHeight="1">
      <c r="A52" s="1" t="s">
        <v>219</v>
      </c>
      <c r="B52" s="1" t="s">
        <v>220</v>
      </c>
      <c r="C52" s="1" t="s">
        <v>217</v>
      </c>
      <c r="D52" s="1" t="s">
        <v>220</v>
      </c>
      <c r="E52" s="1" t="s">
        <v>10</v>
      </c>
      <c r="F52" s="1" t="s">
        <v>221</v>
      </c>
      <c r="G52" s="1" t="s">
        <v>222</v>
      </c>
      <c r="H52" s="1">
        <f t="shared" si="1"/>
        <v>356950511666665</v>
      </c>
    </row>
    <row r="53" ht="14.25" customHeight="1">
      <c r="A53" s="1" t="s">
        <v>223</v>
      </c>
      <c r="B53" s="1" t="s">
        <v>224</v>
      </c>
      <c r="C53" s="1" t="s">
        <v>221</v>
      </c>
      <c r="D53" s="1" t="s">
        <v>224</v>
      </c>
      <c r="E53" s="1" t="s">
        <v>10</v>
      </c>
      <c r="F53" s="1" t="s">
        <v>225</v>
      </c>
      <c r="G53" s="1" t="s">
        <v>226</v>
      </c>
      <c r="H53" s="1">
        <f t="shared" si="1"/>
        <v>52759771333333</v>
      </c>
    </row>
    <row r="54" ht="14.25" customHeight="1">
      <c r="A54" s="1" t="s">
        <v>227</v>
      </c>
      <c r="B54" s="1" t="s">
        <v>228</v>
      </c>
      <c r="C54" s="1" t="s">
        <v>225</v>
      </c>
      <c r="D54" s="1" t="s">
        <v>225</v>
      </c>
      <c r="E54" s="1" t="s">
        <v>229</v>
      </c>
      <c r="F54" s="1" t="s">
        <v>230</v>
      </c>
      <c r="G54" s="1" t="s">
        <v>231</v>
      </c>
      <c r="H54" s="1">
        <f t="shared" si="1"/>
        <v>463315379999997</v>
      </c>
    </row>
    <row r="55" ht="14.25" customHeight="1">
      <c r="A55" s="1" t="s">
        <v>232</v>
      </c>
      <c r="B55" s="1" t="s">
        <v>233</v>
      </c>
      <c r="C55" s="1" t="s">
        <v>230</v>
      </c>
      <c r="D55" s="1" t="s">
        <v>233</v>
      </c>
      <c r="E55" s="1" t="s">
        <v>10</v>
      </c>
      <c r="F55" s="1" t="s">
        <v>234</v>
      </c>
      <c r="G55" s="1" t="s">
        <v>235</v>
      </c>
      <c r="H55" s="1">
        <f t="shared" si="1"/>
        <v>32457610500000</v>
      </c>
    </row>
    <row r="56" ht="14.25" customHeight="1">
      <c r="A56" s="1" t="s">
        <v>236</v>
      </c>
      <c r="B56" s="1" t="s">
        <v>237</v>
      </c>
      <c r="C56" s="1" t="s">
        <v>234</v>
      </c>
      <c r="D56" s="1" t="s">
        <v>237</v>
      </c>
      <c r="E56" s="1" t="s">
        <v>10</v>
      </c>
      <c r="F56" s="1" t="s">
        <v>238</v>
      </c>
      <c r="G56" s="1" t="s">
        <v>239</v>
      </c>
      <c r="H56" s="1">
        <f t="shared" si="1"/>
        <v>423265066666663</v>
      </c>
    </row>
    <row r="57" ht="14.25" customHeight="1">
      <c r="A57" s="1" t="s">
        <v>240</v>
      </c>
      <c r="B57" s="1" t="s">
        <v>241</v>
      </c>
      <c r="C57" s="1" t="s">
        <v>238</v>
      </c>
      <c r="D57" s="1" t="s">
        <v>241</v>
      </c>
      <c r="E57" s="1" t="s">
        <v>10</v>
      </c>
      <c r="F57" s="1" t="s">
        <v>242</v>
      </c>
      <c r="G57" s="1" t="s">
        <v>243</v>
      </c>
      <c r="H57" s="1">
        <f t="shared" si="1"/>
        <v>39941261666667</v>
      </c>
    </row>
    <row r="58" ht="14.25" customHeight="1">
      <c r="A58" s="1" t="s">
        <v>244</v>
      </c>
      <c r="B58" s="1" t="s">
        <v>245</v>
      </c>
      <c r="C58" s="1" t="s">
        <v>242</v>
      </c>
      <c r="D58" s="1" t="s">
        <v>245</v>
      </c>
      <c r="E58" s="1" t="s">
        <v>10</v>
      </c>
      <c r="F58" s="1" t="s">
        <v>246</v>
      </c>
      <c r="G58" s="1" t="s">
        <v>247</v>
      </c>
      <c r="H58" s="1">
        <f t="shared" si="1"/>
        <v>45237003833333</v>
      </c>
    </row>
    <row r="59" ht="14.25" customHeight="1">
      <c r="A59" s="1" t="s">
        <v>248</v>
      </c>
      <c r="B59" s="1" t="s">
        <v>249</v>
      </c>
      <c r="C59" s="1" t="s">
        <v>246</v>
      </c>
      <c r="D59" s="1" t="s">
        <v>249</v>
      </c>
      <c r="E59" s="1" t="s">
        <v>10</v>
      </c>
      <c r="F59" s="1" t="s">
        <v>250</v>
      </c>
      <c r="G59" s="1" t="s">
        <v>251</v>
      </c>
      <c r="H59" s="1">
        <f t="shared" si="1"/>
        <v>397240975000000</v>
      </c>
    </row>
    <row r="60" ht="14.25" customHeight="1">
      <c r="A60" s="1" t="s">
        <v>252</v>
      </c>
      <c r="B60" s="1" t="s">
        <v>253</v>
      </c>
      <c r="C60" s="1" t="s">
        <v>250</v>
      </c>
      <c r="D60" s="1" t="s">
        <v>253</v>
      </c>
      <c r="E60" s="1" t="s">
        <v>10</v>
      </c>
      <c r="F60" s="1" t="s">
        <v>254</v>
      </c>
      <c r="G60" s="1" t="s">
        <v>255</v>
      </c>
      <c r="H60" s="1">
        <f t="shared" si="1"/>
        <v>47522775333333</v>
      </c>
    </row>
    <row r="61" ht="14.25" customHeight="1">
      <c r="A61" s="1" t="s">
        <v>256</v>
      </c>
      <c r="B61" s="1" t="s">
        <v>257</v>
      </c>
      <c r="C61" s="1" t="s">
        <v>254</v>
      </c>
      <c r="D61" s="1" t="s">
        <v>257</v>
      </c>
      <c r="E61" s="1" t="s">
        <v>10</v>
      </c>
      <c r="F61" s="1" t="s">
        <v>258</v>
      </c>
      <c r="G61" s="1" t="s">
        <v>259</v>
      </c>
      <c r="H61" s="1">
        <f t="shared" si="1"/>
        <v>70552598000000</v>
      </c>
    </row>
    <row r="62" ht="14.25" customHeight="1">
      <c r="A62" s="1" t="s">
        <v>260</v>
      </c>
      <c r="B62" s="1" t="s">
        <v>261</v>
      </c>
      <c r="C62" s="1" t="s">
        <v>258</v>
      </c>
      <c r="D62" s="1" t="s">
        <v>258</v>
      </c>
      <c r="E62" s="1" t="s">
        <v>262</v>
      </c>
      <c r="F62" s="1" t="s">
        <v>263</v>
      </c>
      <c r="G62" s="1" t="s">
        <v>264</v>
      </c>
      <c r="H62" s="1">
        <f t="shared" si="1"/>
        <v>31264525333333</v>
      </c>
    </row>
    <row r="63" ht="14.25" customHeight="1">
      <c r="A63" s="1" t="s">
        <v>265</v>
      </c>
      <c r="B63" s="1" t="s">
        <v>266</v>
      </c>
      <c r="C63" s="1" t="s">
        <v>263</v>
      </c>
      <c r="D63" s="1" t="s">
        <v>263</v>
      </c>
      <c r="E63" s="1" t="s">
        <v>267</v>
      </c>
      <c r="F63" s="1" t="s">
        <v>268</v>
      </c>
      <c r="G63" s="1" t="s">
        <v>269</v>
      </c>
      <c r="H63" s="1">
        <f t="shared" si="1"/>
        <v>449526811666670</v>
      </c>
    </row>
    <row r="64" ht="14.25" customHeight="1">
      <c r="A64" s="1" t="s">
        <v>270</v>
      </c>
      <c r="B64" s="1" t="s">
        <v>271</v>
      </c>
      <c r="C64" s="1" t="s">
        <v>268</v>
      </c>
      <c r="D64" s="1" t="s">
        <v>271</v>
      </c>
      <c r="E64" s="1" t="s">
        <v>10</v>
      </c>
      <c r="F64" s="1" t="s">
        <v>272</v>
      </c>
      <c r="G64" s="1" t="s">
        <v>273</v>
      </c>
      <c r="H64" s="1">
        <f t="shared" si="1"/>
        <v>2964978600000</v>
      </c>
    </row>
    <row r="65" ht="14.25" customHeight="1">
      <c r="A65" s="1" t="s">
        <v>274</v>
      </c>
      <c r="B65" s="1" t="s">
        <v>275</v>
      </c>
      <c r="C65" s="1" t="s">
        <v>272</v>
      </c>
      <c r="D65" s="1" t="s">
        <v>275</v>
      </c>
      <c r="E65" s="1" t="s">
        <v>10</v>
      </c>
      <c r="F65" s="1" t="s">
        <v>276</v>
      </c>
      <c r="G65" s="1" t="s">
        <v>277</v>
      </c>
      <c r="H65" s="1">
        <f t="shared" si="1"/>
        <v>44513386500000</v>
      </c>
    </row>
    <row r="66" ht="14.25" customHeight="1">
      <c r="A66" s="1" t="s">
        <v>278</v>
      </c>
      <c r="B66" s="1" t="s">
        <v>279</v>
      </c>
      <c r="C66" s="1" t="s">
        <v>276</v>
      </c>
      <c r="D66" s="1" t="s">
        <v>279</v>
      </c>
      <c r="E66" s="1" t="s">
        <v>10</v>
      </c>
      <c r="F66" s="1" t="s">
        <v>280</v>
      </c>
      <c r="G66" s="1" t="s">
        <v>281</v>
      </c>
      <c r="H66" s="1">
        <f t="shared" si="1"/>
        <v>36167623666666</v>
      </c>
    </row>
    <row r="67" ht="14.25" customHeight="1">
      <c r="A67" s="1" t="s">
        <v>282</v>
      </c>
      <c r="B67" s="1" t="s">
        <v>283</v>
      </c>
      <c r="C67" s="1" t="s">
        <v>280</v>
      </c>
      <c r="D67" s="1" t="s">
        <v>283</v>
      </c>
      <c r="E67" s="1" t="s">
        <v>10</v>
      </c>
      <c r="F67" s="1" t="s">
        <v>284</v>
      </c>
      <c r="G67" s="1" t="s">
        <v>285</v>
      </c>
      <c r="H67" s="1">
        <f t="shared" si="1"/>
        <v>300000946666668</v>
      </c>
    </row>
    <row r="68" ht="14.25" customHeight="1">
      <c r="A68" s="1" t="s">
        <v>286</v>
      </c>
      <c r="B68" s="1" t="s">
        <v>287</v>
      </c>
      <c r="C68" s="1" t="s">
        <v>284</v>
      </c>
      <c r="D68" s="1" t="s">
        <v>287</v>
      </c>
      <c r="E68" s="1" t="s">
        <v>10</v>
      </c>
      <c r="F68" s="1" t="s">
        <v>288</v>
      </c>
      <c r="G68" s="1" t="s">
        <v>289</v>
      </c>
      <c r="H68" s="1">
        <f t="shared" si="1"/>
        <v>407710110000002</v>
      </c>
    </row>
    <row r="69" ht="14.25" customHeight="1">
      <c r="A69" s="1" t="s">
        <v>290</v>
      </c>
      <c r="B69" s="1" t="s">
        <v>291</v>
      </c>
      <c r="C69" s="1" t="s">
        <v>288</v>
      </c>
      <c r="D69" s="1" t="s">
        <v>291</v>
      </c>
      <c r="E69" s="1" t="s">
        <v>10</v>
      </c>
      <c r="F69" s="1" t="s">
        <v>292</v>
      </c>
      <c r="G69" s="1" t="s">
        <v>293</v>
      </c>
      <c r="H69" s="1">
        <f t="shared" si="1"/>
        <v>4251263166667</v>
      </c>
    </row>
    <row r="70" ht="14.25" customHeight="1">
      <c r="A70" s="1" t="s">
        <v>294</v>
      </c>
      <c r="B70" s="1" t="s">
        <v>295</v>
      </c>
      <c r="C70" s="1" t="s">
        <v>292</v>
      </c>
      <c r="D70" s="1" t="s">
        <v>295</v>
      </c>
      <c r="E70" s="1" t="s">
        <v>10</v>
      </c>
      <c r="F70" s="1" t="s">
        <v>296</v>
      </c>
      <c r="G70" s="1" t="s">
        <v>297</v>
      </c>
      <c r="H70" s="1">
        <f t="shared" si="1"/>
        <v>245303653333335</v>
      </c>
    </row>
    <row r="71" ht="14.25" customHeight="1">
      <c r="A71" s="1" t="s">
        <v>298</v>
      </c>
      <c r="B71" s="1" t="s">
        <v>299</v>
      </c>
      <c r="C71" s="1" t="s">
        <v>296</v>
      </c>
      <c r="D71" s="1" t="s">
        <v>299</v>
      </c>
      <c r="E71" s="1" t="s">
        <v>10</v>
      </c>
      <c r="F71" s="1" t="s">
        <v>300</v>
      </c>
      <c r="G71" s="1" t="s">
        <v>301</v>
      </c>
      <c r="H71" s="1">
        <f t="shared" si="1"/>
        <v>45855313500000</v>
      </c>
    </row>
    <row r="72" ht="14.25" customHeight="1">
      <c r="A72" s="1" t="s">
        <v>302</v>
      </c>
      <c r="B72" s="1" t="s">
        <v>303</v>
      </c>
      <c r="C72" s="1" t="s">
        <v>300</v>
      </c>
      <c r="D72" s="1" t="s">
        <v>303</v>
      </c>
      <c r="E72" s="1" t="s">
        <v>10</v>
      </c>
      <c r="F72" s="1" t="s">
        <v>304</v>
      </c>
      <c r="G72" s="1" t="s">
        <v>305</v>
      </c>
      <c r="H72" s="1">
        <f t="shared" si="1"/>
        <v>57806423833333</v>
      </c>
    </row>
    <row r="73" ht="14.25" customHeight="1">
      <c r="A73" s="1" t="s">
        <v>306</v>
      </c>
      <c r="B73" s="1" t="s">
        <v>307</v>
      </c>
      <c r="C73" s="1" t="s">
        <v>304</v>
      </c>
      <c r="D73" s="1" t="s">
        <v>304</v>
      </c>
      <c r="E73" s="1" t="s">
        <v>308</v>
      </c>
      <c r="F73" s="1" t="s">
        <v>309</v>
      </c>
      <c r="G73" s="1" t="s">
        <v>310</v>
      </c>
      <c r="H73" s="1">
        <f t="shared" si="1"/>
        <v>50352927833334</v>
      </c>
    </row>
    <row r="74" ht="14.25" customHeight="1">
      <c r="A74" s="1" t="s">
        <v>311</v>
      </c>
      <c r="B74" s="1" t="s">
        <v>312</v>
      </c>
      <c r="C74" s="1" t="s">
        <v>309</v>
      </c>
      <c r="D74" s="1" t="s">
        <v>309</v>
      </c>
      <c r="E74" s="1" t="s">
        <v>313</v>
      </c>
      <c r="F74" s="1" t="s">
        <v>314</v>
      </c>
      <c r="G74" s="1" t="s">
        <v>315</v>
      </c>
      <c r="H74" s="1">
        <f t="shared" si="1"/>
        <v>321725149999998</v>
      </c>
    </row>
    <row r="75" ht="14.25" customHeight="1">
      <c r="A75" s="1" t="s">
        <v>316</v>
      </c>
      <c r="B75" s="1" t="s">
        <v>317</v>
      </c>
      <c r="C75" s="1" t="s">
        <v>314</v>
      </c>
      <c r="D75" s="1" t="s">
        <v>317</v>
      </c>
      <c r="E75" s="1" t="s">
        <v>10</v>
      </c>
      <c r="F75" s="1" t="s">
        <v>318</v>
      </c>
      <c r="G75" s="1" t="s">
        <v>319</v>
      </c>
      <c r="H75" s="1">
        <f t="shared" si="1"/>
        <v>45067259166666</v>
      </c>
    </row>
    <row r="76" ht="14.25" customHeight="1">
      <c r="A76" s="1" t="s">
        <v>320</v>
      </c>
      <c r="B76" s="1" t="s">
        <v>321</v>
      </c>
      <c r="C76" s="1" t="s">
        <v>318</v>
      </c>
      <c r="D76" s="1" t="s">
        <v>321</v>
      </c>
      <c r="E76" s="1" t="s">
        <v>10</v>
      </c>
      <c r="F76" s="1" t="s">
        <v>322</v>
      </c>
      <c r="G76" s="1" t="s">
        <v>323</v>
      </c>
      <c r="H76" s="1">
        <f t="shared" si="1"/>
        <v>3711213283333</v>
      </c>
    </row>
    <row r="77" ht="14.25" customHeight="1">
      <c r="A77" s="1" t="s">
        <v>324</v>
      </c>
      <c r="B77" s="1" t="s">
        <v>325</v>
      </c>
      <c r="C77" s="1" t="s">
        <v>322</v>
      </c>
      <c r="D77" s="1" t="s">
        <v>325</v>
      </c>
      <c r="E77" s="1" t="s">
        <v>10</v>
      </c>
      <c r="F77" s="1" t="s">
        <v>326</v>
      </c>
      <c r="G77" s="1" t="s">
        <v>327</v>
      </c>
      <c r="H77" s="1">
        <f t="shared" si="1"/>
        <v>352959669999998</v>
      </c>
    </row>
    <row r="78" ht="14.25" customHeight="1">
      <c r="A78" s="1" t="s">
        <v>328</v>
      </c>
      <c r="B78" s="1" t="s">
        <v>329</v>
      </c>
      <c r="C78" s="1" t="s">
        <v>326</v>
      </c>
      <c r="D78" s="1" t="s">
        <v>329</v>
      </c>
      <c r="E78" s="1" t="s">
        <v>10</v>
      </c>
      <c r="F78" s="1" t="s">
        <v>330</v>
      </c>
      <c r="G78" s="1" t="s">
        <v>331</v>
      </c>
      <c r="H78" s="1">
        <f t="shared" si="1"/>
        <v>18218029666667</v>
      </c>
    </row>
    <row r="79" ht="14.25" customHeight="1">
      <c r="A79" s="1" t="s">
        <v>332</v>
      </c>
      <c r="B79" s="1" t="s">
        <v>333</v>
      </c>
      <c r="C79" s="1" t="s">
        <v>330</v>
      </c>
      <c r="D79" s="1" t="s">
        <v>333</v>
      </c>
      <c r="E79" s="1" t="s">
        <v>10</v>
      </c>
      <c r="F79" s="1" t="s">
        <v>334</v>
      </c>
      <c r="G79" s="1" t="s">
        <v>335</v>
      </c>
      <c r="H79" s="1">
        <f t="shared" si="1"/>
        <v>30550654666666</v>
      </c>
    </row>
    <row r="80" ht="14.25" customHeight="1">
      <c r="A80" s="1" t="s">
        <v>336</v>
      </c>
      <c r="B80" s="1" t="s">
        <v>337</v>
      </c>
      <c r="C80" s="1" t="s">
        <v>334</v>
      </c>
      <c r="D80" s="1" t="s">
        <v>337</v>
      </c>
      <c r="E80" s="1" t="s">
        <v>10</v>
      </c>
      <c r="F80" s="1" t="s">
        <v>338</v>
      </c>
      <c r="G80" s="1" t="s">
        <v>339</v>
      </c>
      <c r="H80" s="1">
        <f t="shared" si="1"/>
        <v>185613068333333</v>
      </c>
    </row>
    <row r="81" ht="14.25" customHeight="1">
      <c r="A81" s="1" t="s">
        <v>340</v>
      </c>
      <c r="B81" s="1" t="s">
        <v>341</v>
      </c>
      <c r="C81" s="1" t="s">
        <v>338</v>
      </c>
      <c r="D81" s="1" t="s">
        <v>341</v>
      </c>
      <c r="E81" s="1" t="s">
        <v>10</v>
      </c>
      <c r="F81" s="1" t="s">
        <v>342</v>
      </c>
      <c r="G81" s="1" t="s">
        <v>343</v>
      </c>
      <c r="H81" s="1">
        <f t="shared" si="1"/>
        <v>31998095000000</v>
      </c>
    </row>
    <row r="82" ht="14.25" customHeight="1">
      <c r="A82" s="1" t="s">
        <v>344</v>
      </c>
      <c r="B82" s="1" t="s">
        <v>345</v>
      </c>
      <c r="C82" s="1" t="s">
        <v>342</v>
      </c>
      <c r="D82" s="1" t="s">
        <v>345</v>
      </c>
      <c r="E82" s="1" t="s">
        <v>10</v>
      </c>
      <c r="F82" s="1" t="s">
        <v>346</v>
      </c>
      <c r="G82" s="1" t="s">
        <v>347</v>
      </c>
      <c r="H82" s="1">
        <f t="shared" si="1"/>
        <v>388115840000000</v>
      </c>
    </row>
    <row r="83" ht="14.25" customHeight="1">
      <c r="A83" s="1" t="s">
        <v>348</v>
      </c>
      <c r="B83" s="1" t="s">
        <v>349</v>
      </c>
      <c r="C83" s="1" t="s">
        <v>346</v>
      </c>
      <c r="D83" s="1" t="s">
        <v>349</v>
      </c>
      <c r="E83" s="1" t="s">
        <v>10</v>
      </c>
      <c r="F83" s="1" t="s">
        <v>350</v>
      </c>
      <c r="G83" s="1" t="s">
        <v>351</v>
      </c>
      <c r="H83" s="1">
        <f t="shared" si="1"/>
        <v>5219403216667</v>
      </c>
    </row>
    <row r="84" ht="14.25" customHeight="1">
      <c r="A84" s="1" t="s">
        <v>352</v>
      </c>
      <c r="B84" s="1" t="s">
        <v>353</v>
      </c>
      <c r="C84" s="1" t="s">
        <v>350</v>
      </c>
      <c r="D84" s="1" t="s">
        <v>350</v>
      </c>
      <c r="E84" s="1" t="s">
        <v>354</v>
      </c>
      <c r="F84" s="1" t="s">
        <v>355</v>
      </c>
      <c r="G84" s="1" t="s">
        <v>356</v>
      </c>
      <c r="H84" s="1">
        <f t="shared" si="1"/>
        <v>32473083499999</v>
      </c>
    </row>
    <row r="85" ht="14.25" customHeight="1">
      <c r="A85" s="1" t="s">
        <v>357</v>
      </c>
      <c r="B85" s="1" t="s">
        <v>358</v>
      </c>
      <c r="C85" s="1" t="s">
        <v>355</v>
      </c>
      <c r="D85" s="1" t="s">
        <v>358</v>
      </c>
      <c r="E85" s="1" t="s">
        <v>10</v>
      </c>
      <c r="F85" s="1" t="s">
        <v>359</v>
      </c>
      <c r="G85" s="1" t="s">
        <v>360</v>
      </c>
      <c r="H85" s="1">
        <f t="shared" si="1"/>
        <v>33288613833333</v>
      </c>
    </row>
    <row r="86" ht="14.25" customHeight="1">
      <c r="A86" s="1" t="s">
        <v>361</v>
      </c>
      <c r="B86" s="1" t="s">
        <v>362</v>
      </c>
      <c r="C86" s="1" t="s">
        <v>359</v>
      </c>
      <c r="D86" s="1" t="s">
        <v>362</v>
      </c>
      <c r="E86" s="1" t="s">
        <v>10</v>
      </c>
      <c r="F86" s="1" t="s">
        <v>363</v>
      </c>
      <c r="G86" s="1" t="s">
        <v>364</v>
      </c>
      <c r="H86" s="1">
        <f t="shared" si="1"/>
        <v>25334912166667</v>
      </c>
    </row>
    <row r="87" ht="14.25" customHeight="1">
      <c r="A87" s="1" t="s">
        <v>365</v>
      </c>
      <c r="B87" s="1" t="s">
        <v>366</v>
      </c>
      <c r="C87" s="1" t="s">
        <v>363</v>
      </c>
      <c r="D87" s="1" t="s">
        <v>366</v>
      </c>
      <c r="E87" s="1" t="s">
        <v>10</v>
      </c>
      <c r="F87" s="1" t="s">
        <v>367</v>
      </c>
      <c r="G87" s="1" t="s">
        <v>368</v>
      </c>
      <c r="H87" s="1">
        <f t="shared" si="1"/>
        <v>30238246666666</v>
      </c>
    </row>
    <row r="88" ht="14.25" customHeight="1">
      <c r="A88" s="1" t="s">
        <v>369</v>
      </c>
      <c r="B88" s="1" t="s">
        <v>370</v>
      </c>
      <c r="C88" s="1" t="s">
        <v>367</v>
      </c>
      <c r="D88" s="1" t="s">
        <v>370</v>
      </c>
      <c r="E88" s="1" t="s">
        <v>10</v>
      </c>
      <c r="F88" s="1" t="s">
        <v>371</v>
      </c>
      <c r="G88" s="1" t="s">
        <v>372</v>
      </c>
      <c r="H88" s="1">
        <f t="shared" si="1"/>
        <v>37359881666667</v>
      </c>
    </row>
    <row r="89" ht="14.25" customHeight="1">
      <c r="A89" s="1" t="s">
        <v>373</v>
      </c>
      <c r="B89" s="1" t="s">
        <v>374</v>
      </c>
      <c r="C89" s="1" t="s">
        <v>371</v>
      </c>
      <c r="D89" s="1" t="s">
        <v>374</v>
      </c>
      <c r="E89" s="1" t="s">
        <v>10</v>
      </c>
      <c r="F89" s="1" t="s">
        <v>375</v>
      </c>
      <c r="G89" s="1" t="s">
        <v>376</v>
      </c>
      <c r="H89" s="1">
        <f t="shared" si="1"/>
        <v>2586557766667</v>
      </c>
    </row>
    <row r="90" ht="14.25" customHeight="1">
      <c r="A90" s="1" t="s">
        <v>377</v>
      </c>
      <c r="B90" s="1" t="s">
        <v>378</v>
      </c>
      <c r="C90" s="1" t="s">
        <v>375</v>
      </c>
      <c r="D90" s="1" t="s">
        <v>378</v>
      </c>
      <c r="E90" s="1" t="s">
        <v>10</v>
      </c>
      <c r="F90" s="1" t="s">
        <v>379</v>
      </c>
      <c r="G90" s="1" t="s">
        <v>380</v>
      </c>
      <c r="H90" s="1">
        <f t="shared" si="1"/>
        <v>203892885000002</v>
      </c>
    </row>
    <row r="91" ht="14.25" customHeight="1">
      <c r="A91" s="1" t="s">
        <v>381</v>
      </c>
      <c r="B91" s="1" t="s">
        <v>382</v>
      </c>
      <c r="C91" s="1" t="s">
        <v>379</v>
      </c>
      <c r="D91" s="1" t="s">
        <v>382</v>
      </c>
      <c r="E91" s="1" t="s">
        <v>10</v>
      </c>
      <c r="F91" s="1" t="s">
        <v>383</v>
      </c>
      <c r="G91" s="1" t="s">
        <v>384</v>
      </c>
      <c r="H91" s="1">
        <f t="shared" si="1"/>
        <v>27245403333333</v>
      </c>
    </row>
    <row r="92" ht="14.25" customHeight="1">
      <c r="A92" s="1" t="s">
        <v>385</v>
      </c>
      <c r="B92" s="1" t="s">
        <v>386</v>
      </c>
      <c r="C92" s="1" t="s">
        <v>383</v>
      </c>
      <c r="D92" s="1" t="s">
        <v>386</v>
      </c>
      <c r="E92" s="1" t="s">
        <v>10</v>
      </c>
      <c r="F92" s="1" t="s">
        <v>387</v>
      </c>
      <c r="G92" s="1" t="s">
        <v>388</v>
      </c>
      <c r="H92" s="1">
        <f t="shared" si="1"/>
        <v>45405958666666</v>
      </c>
    </row>
    <row r="93" ht="14.25" customHeight="1">
      <c r="A93" s="1" t="s">
        <v>389</v>
      </c>
      <c r="B93" s="1" t="s">
        <v>390</v>
      </c>
      <c r="C93" s="1" t="s">
        <v>387</v>
      </c>
      <c r="D93" s="1" t="s">
        <v>390</v>
      </c>
      <c r="E93" s="1" t="s">
        <v>10</v>
      </c>
      <c r="F93" s="1" t="s">
        <v>391</v>
      </c>
      <c r="G93" s="1" t="s">
        <v>392</v>
      </c>
      <c r="H93" s="1">
        <f t="shared" si="1"/>
        <v>40860819166666</v>
      </c>
    </row>
    <row r="94" ht="14.25" customHeight="1">
      <c r="A94" s="1" t="s">
        <v>393</v>
      </c>
      <c r="B94" s="1" t="s">
        <v>394</v>
      </c>
      <c r="C94" s="1" t="s">
        <v>391</v>
      </c>
      <c r="D94" s="1" t="s">
        <v>394</v>
      </c>
      <c r="E94" s="1" t="s">
        <v>10</v>
      </c>
      <c r="F94" s="1" t="s">
        <v>395</v>
      </c>
      <c r="G94" s="1" t="s">
        <v>396</v>
      </c>
      <c r="H94" s="1">
        <f t="shared" si="1"/>
        <v>33839825833333</v>
      </c>
    </row>
    <row r="95" ht="14.25" customHeight="1">
      <c r="A95" s="1" t="s">
        <v>397</v>
      </c>
      <c r="B95" s="1" t="s">
        <v>398</v>
      </c>
      <c r="C95" s="1" t="s">
        <v>395</v>
      </c>
      <c r="D95" s="1" t="s">
        <v>398</v>
      </c>
      <c r="E95" s="1" t="s">
        <v>10</v>
      </c>
      <c r="F95" s="1" t="s">
        <v>399</v>
      </c>
      <c r="G95" s="1" t="s">
        <v>400</v>
      </c>
      <c r="H95" s="1">
        <f t="shared" si="1"/>
        <v>304028881666667</v>
      </c>
    </row>
    <row r="96" ht="14.25" customHeight="1">
      <c r="A96" s="1" t="s">
        <v>401</v>
      </c>
      <c r="B96" s="1" t="s">
        <v>402</v>
      </c>
      <c r="C96" s="1" t="s">
        <v>399</v>
      </c>
      <c r="D96" s="1" t="s">
        <v>402</v>
      </c>
      <c r="E96" s="1" t="s">
        <v>10</v>
      </c>
      <c r="F96" s="1" t="s">
        <v>403</v>
      </c>
      <c r="G96" s="1" t="s">
        <v>404</v>
      </c>
      <c r="H96" s="1">
        <f t="shared" si="1"/>
        <v>47740835166667</v>
      </c>
    </row>
    <row r="97" ht="14.25" customHeight="1">
      <c r="A97" s="1" t="s">
        <v>405</v>
      </c>
      <c r="B97" s="1" t="s">
        <v>406</v>
      </c>
      <c r="C97" s="1" t="s">
        <v>403</v>
      </c>
      <c r="D97" s="1" t="s">
        <v>406</v>
      </c>
      <c r="E97" s="1" t="s">
        <v>10</v>
      </c>
      <c r="F97" s="1" t="s">
        <v>407</v>
      </c>
      <c r="G97" s="1" t="s">
        <v>408</v>
      </c>
      <c r="H97" s="1">
        <f t="shared" si="1"/>
        <v>35130634333333</v>
      </c>
    </row>
    <row r="98" ht="14.25" customHeight="1">
      <c r="A98" s="1" t="s">
        <v>409</v>
      </c>
      <c r="B98" s="1" t="s">
        <v>410</v>
      </c>
      <c r="C98" s="1" t="s">
        <v>407</v>
      </c>
      <c r="D98" s="1" t="s">
        <v>410</v>
      </c>
      <c r="E98" s="1" t="s">
        <v>10</v>
      </c>
      <c r="F98" s="1" t="s">
        <v>411</v>
      </c>
      <c r="G98" s="1" t="s">
        <v>412</v>
      </c>
      <c r="H98" s="1">
        <f t="shared" si="1"/>
        <v>23408452999999</v>
      </c>
    </row>
    <row r="99" ht="14.25" customHeight="1">
      <c r="A99" s="1" t="s">
        <v>413</v>
      </c>
      <c r="B99" s="1" t="s">
        <v>414</v>
      </c>
      <c r="C99" s="1" t="s">
        <v>411</v>
      </c>
      <c r="D99" s="1" t="s">
        <v>414</v>
      </c>
      <c r="E99" s="1" t="s">
        <v>10</v>
      </c>
      <c r="F99" s="1" t="s">
        <v>415</v>
      </c>
      <c r="G99" s="1" t="s">
        <v>416</v>
      </c>
      <c r="H99" s="1">
        <f t="shared" si="1"/>
        <v>533903476666662</v>
      </c>
    </row>
    <row r="100" ht="14.25" customHeight="1">
      <c r="A100" s="1" t="s">
        <v>417</v>
      </c>
      <c r="B100" s="1" t="s">
        <v>418</v>
      </c>
      <c r="C100" s="1" t="s">
        <v>415</v>
      </c>
      <c r="D100" s="1" t="s">
        <v>415</v>
      </c>
      <c r="E100" s="1" t="s">
        <v>419</v>
      </c>
      <c r="F100" s="1" t="s">
        <v>420</v>
      </c>
      <c r="G100" s="1" t="s">
        <v>421</v>
      </c>
      <c r="H100" s="1">
        <f t="shared" si="1"/>
        <v>40685170500000</v>
      </c>
    </row>
    <row r="101" ht="14.25" customHeight="1">
      <c r="A101" s="1" t="s">
        <v>422</v>
      </c>
      <c r="B101" s="1" t="s">
        <v>423</v>
      </c>
      <c r="C101" s="1" t="s">
        <v>420</v>
      </c>
      <c r="D101" s="1" t="s">
        <v>423</v>
      </c>
      <c r="E101" s="1" t="s">
        <v>10</v>
      </c>
      <c r="F101" s="1" t="s">
        <v>424</v>
      </c>
      <c r="G101" s="1" t="s">
        <v>425</v>
      </c>
      <c r="H101" s="1">
        <f t="shared" si="1"/>
        <v>448119446666668</v>
      </c>
    </row>
    <row r="102" ht="14.25" customHeight="1">
      <c r="A102" s="1" t="s">
        <v>426</v>
      </c>
      <c r="B102" s="1" t="s">
        <v>427</v>
      </c>
      <c r="C102" s="1" t="s">
        <v>424</v>
      </c>
      <c r="D102" s="1" t="s">
        <v>427</v>
      </c>
      <c r="E102" s="1" t="s">
        <v>10</v>
      </c>
      <c r="F102" s="1" t="s">
        <v>428</v>
      </c>
      <c r="G102" s="1" t="s">
        <v>429</v>
      </c>
      <c r="H102" s="1">
        <f t="shared" si="1"/>
        <v>265471573333335</v>
      </c>
    </row>
    <row r="103" ht="14.25" customHeight="1">
      <c r="A103" s="1" t="s">
        <v>430</v>
      </c>
      <c r="B103" s="1" t="s">
        <v>431</v>
      </c>
      <c r="C103" s="1" t="s">
        <v>428</v>
      </c>
      <c r="D103" s="1" t="s">
        <v>431</v>
      </c>
      <c r="E103" s="1" t="s">
        <v>10</v>
      </c>
      <c r="F103" s="1" t="s">
        <v>432</v>
      </c>
      <c r="G103" s="1" t="s">
        <v>433</v>
      </c>
      <c r="H103" s="1">
        <f t="shared" si="1"/>
        <v>319909498333335</v>
      </c>
    </row>
    <row r="104" ht="14.25" customHeight="1">
      <c r="A104" s="1" t="s">
        <v>434</v>
      </c>
      <c r="B104" s="1" t="s">
        <v>435</v>
      </c>
      <c r="C104" s="1" t="s">
        <v>432</v>
      </c>
      <c r="D104" s="1" t="s">
        <v>435</v>
      </c>
      <c r="E104" s="1" t="s">
        <v>10</v>
      </c>
      <c r="F104" s="1" t="s">
        <v>436</v>
      </c>
      <c r="G104" s="1" t="s">
        <v>437</v>
      </c>
      <c r="H104" s="1">
        <f t="shared" si="1"/>
        <v>28287714666666</v>
      </c>
    </row>
    <row r="105" ht="14.25" customHeight="1">
      <c r="A105" s="1" t="s">
        <v>438</v>
      </c>
      <c r="B105" s="1" t="s">
        <v>439</v>
      </c>
      <c r="C105" s="1" t="s">
        <v>436</v>
      </c>
      <c r="D105" s="1" t="s">
        <v>439</v>
      </c>
      <c r="E105" s="1" t="s">
        <v>10</v>
      </c>
      <c r="F105" s="1" t="s">
        <v>440</v>
      </c>
      <c r="G105" s="1" t="s">
        <v>441</v>
      </c>
      <c r="H105" s="1">
        <f t="shared" si="1"/>
        <v>39537372333333</v>
      </c>
    </row>
    <row r="106" ht="14.25" customHeight="1">
      <c r="A106" s="1" t="s">
        <v>442</v>
      </c>
      <c r="B106" s="1" t="s">
        <v>443</v>
      </c>
      <c r="C106" s="1" t="s">
        <v>440</v>
      </c>
      <c r="D106" s="1" t="s">
        <v>443</v>
      </c>
      <c r="E106" s="1" t="s">
        <v>10</v>
      </c>
      <c r="F106" s="1" t="s">
        <v>444</v>
      </c>
      <c r="G106" s="1" t="s">
        <v>445</v>
      </c>
      <c r="H106" s="1">
        <f t="shared" si="1"/>
        <v>605345221666660</v>
      </c>
    </row>
    <row r="107" ht="14.25" customHeight="1">
      <c r="A107" s="1" t="s">
        <v>446</v>
      </c>
      <c r="B107" s="1" t="s">
        <v>447</v>
      </c>
      <c r="C107" s="1" t="s">
        <v>444</v>
      </c>
      <c r="D107" s="1" t="s">
        <v>444</v>
      </c>
      <c r="E107" s="1" t="s">
        <v>448</v>
      </c>
      <c r="F107" s="1" t="s">
        <v>449</v>
      </c>
      <c r="G107" s="1" t="s">
        <v>450</v>
      </c>
      <c r="H107" s="1">
        <f t="shared" si="1"/>
        <v>57455135500000</v>
      </c>
    </row>
    <row r="108" ht="14.25" customHeight="1">
      <c r="A108" s="1" t="s">
        <v>451</v>
      </c>
      <c r="B108" s="1" t="s">
        <v>452</v>
      </c>
      <c r="C108" s="1" t="s">
        <v>449</v>
      </c>
      <c r="D108" s="1" t="s">
        <v>449</v>
      </c>
      <c r="E108" s="1" t="s">
        <v>453</v>
      </c>
      <c r="F108" s="1" t="s">
        <v>454</v>
      </c>
      <c r="G108" s="1" t="s">
        <v>455</v>
      </c>
      <c r="H108" s="1">
        <f t="shared" si="1"/>
        <v>58056708666667</v>
      </c>
    </row>
    <row r="109" ht="14.25" customHeight="1">
      <c r="A109" s="1" t="s">
        <v>456</v>
      </c>
      <c r="B109" s="1" t="s">
        <v>457</v>
      </c>
      <c r="C109" s="1" t="s">
        <v>454</v>
      </c>
      <c r="D109" s="1" t="s">
        <v>454</v>
      </c>
      <c r="E109" s="1" t="s">
        <v>458</v>
      </c>
      <c r="F109" s="1" t="s">
        <v>459</v>
      </c>
      <c r="G109" s="1" t="s">
        <v>460</v>
      </c>
      <c r="H109" s="1">
        <f t="shared" si="1"/>
        <v>47610394833333</v>
      </c>
    </row>
    <row r="110" ht="14.25" customHeight="1">
      <c r="A110" s="1" t="s">
        <v>461</v>
      </c>
      <c r="B110" s="1" t="s">
        <v>462</v>
      </c>
      <c r="C110" s="1" t="s">
        <v>459</v>
      </c>
      <c r="D110" s="1" t="s">
        <v>459</v>
      </c>
      <c r="E110" s="1" t="s">
        <v>463</v>
      </c>
      <c r="F110" s="1" t="s">
        <v>464</v>
      </c>
      <c r="G110" s="1" t="s">
        <v>465</v>
      </c>
      <c r="H110" s="1">
        <f t="shared" si="1"/>
        <v>20602664666666</v>
      </c>
    </row>
    <row r="111" ht="14.25" customHeight="1">
      <c r="A111" s="1" t="s">
        <v>466</v>
      </c>
      <c r="B111" s="1" t="s">
        <v>467</v>
      </c>
      <c r="C111" s="1" t="s">
        <v>464</v>
      </c>
      <c r="D111" s="1" t="s">
        <v>467</v>
      </c>
      <c r="E111" s="1" t="s">
        <v>10</v>
      </c>
      <c r="F111" s="1" t="s">
        <v>468</v>
      </c>
      <c r="G111" s="1" t="s">
        <v>469</v>
      </c>
      <c r="H111" s="1">
        <f t="shared" si="1"/>
        <v>362458256666667</v>
      </c>
    </row>
    <row r="112" ht="14.25" customHeight="1">
      <c r="A112" s="1" t="s">
        <v>470</v>
      </c>
      <c r="B112" s="1" t="s">
        <v>471</v>
      </c>
      <c r="C112" s="1" t="s">
        <v>468</v>
      </c>
      <c r="D112" s="1" t="s">
        <v>471</v>
      </c>
      <c r="E112" s="1" t="s">
        <v>10</v>
      </c>
      <c r="F112" s="1" t="s">
        <v>472</v>
      </c>
      <c r="G112" s="1" t="s">
        <v>473</v>
      </c>
      <c r="H112" s="1">
        <f t="shared" si="1"/>
        <v>36450875333333</v>
      </c>
    </row>
    <row r="113" ht="14.25" customHeight="1">
      <c r="A113" s="1" t="s">
        <v>474</v>
      </c>
      <c r="B113" s="1" t="s">
        <v>475</v>
      </c>
      <c r="C113" s="1" t="s">
        <v>472</v>
      </c>
      <c r="D113" s="1" t="s">
        <v>475</v>
      </c>
      <c r="E113" s="1" t="s">
        <v>10</v>
      </c>
      <c r="F113" s="1" t="s">
        <v>476</v>
      </c>
      <c r="G113" s="1" t="s">
        <v>477</v>
      </c>
      <c r="H113" s="1">
        <f t="shared" si="1"/>
        <v>453161926666667</v>
      </c>
    </row>
    <row r="114" ht="14.25" customHeight="1">
      <c r="A114" s="1" t="s">
        <v>478</v>
      </c>
      <c r="B114" s="1" t="s">
        <v>479</v>
      </c>
      <c r="C114" s="1" t="s">
        <v>476</v>
      </c>
      <c r="D114" s="1" t="s">
        <v>479</v>
      </c>
      <c r="E114" s="1" t="s">
        <v>10</v>
      </c>
      <c r="F114" s="1" t="s">
        <v>480</v>
      </c>
      <c r="G114" s="1" t="s">
        <v>481</v>
      </c>
      <c r="H114" s="1">
        <f t="shared" si="1"/>
        <v>43399526666667</v>
      </c>
    </row>
    <row r="115" ht="14.25" customHeight="1">
      <c r="A115" s="1" t="s">
        <v>482</v>
      </c>
      <c r="B115" s="1" t="s">
        <v>483</v>
      </c>
      <c r="C115" s="1" t="s">
        <v>480</v>
      </c>
      <c r="D115" s="1" t="s">
        <v>483</v>
      </c>
      <c r="E115" s="1" t="s">
        <v>10</v>
      </c>
      <c r="F115" s="1" t="s">
        <v>484</v>
      </c>
      <c r="G115" s="1" t="s">
        <v>485</v>
      </c>
      <c r="H115" s="1">
        <f t="shared" si="1"/>
        <v>52785588000000</v>
      </c>
    </row>
    <row r="116" ht="14.25" customHeight="1">
      <c r="A116" s="1" t="s">
        <v>486</v>
      </c>
      <c r="B116" s="1" t="s">
        <v>487</v>
      </c>
      <c r="C116" s="1" t="s">
        <v>484</v>
      </c>
      <c r="D116" s="1" t="s">
        <v>484</v>
      </c>
      <c r="E116" s="1" t="s">
        <v>488</v>
      </c>
      <c r="F116" s="1" t="s">
        <v>489</v>
      </c>
      <c r="G116" s="1" t="s">
        <v>490</v>
      </c>
      <c r="H116" s="1">
        <f t="shared" si="1"/>
        <v>47556482500000</v>
      </c>
    </row>
    <row r="117" ht="14.25" customHeight="1">
      <c r="A117" s="1" t="s">
        <v>491</v>
      </c>
      <c r="B117" s="1" t="s">
        <v>492</v>
      </c>
      <c r="C117" s="1" t="s">
        <v>489</v>
      </c>
      <c r="D117" s="1" t="s">
        <v>489</v>
      </c>
      <c r="E117" s="1" t="s">
        <v>493</v>
      </c>
      <c r="F117" s="1" t="s">
        <v>494</v>
      </c>
      <c r="G117" s="1" t="s">
        <v>495</v>
      </c>
      <c r="H117" s="1">
        <f t="shared" si="1"/>
        <v>249498338333330</v>
      </c>
    </row>
    <row r="118" ht="14.25" customHeight="1">
      <c r="A118" s="1" t="s">
        <v>496</v>
      </c>
      <c r="B118" s="1" t="s">
        <v>497</v>
      </c>
      <c r="C118" s="1" t="s">
        <v>494</v>
      </c>
      <c r="D118" s="1" t="s">
        <v>497</v>
      </c>
      <c r="E118" s="1" t="s">
        <v>10</v>
      </c>
      <c r="F118" s="1" t="s">
        <v>498</v>
      </c>
      <c r="G118" s="1" t="s">
        <v>499</v>
      </c>
      <c r="H118" s="1">
        <f t="shared" si="1"/>
        <v>41413008333333</v>
      </c>
    </row>
    <row r="119" ht="14.25" customHeight="1">
      <c r="A119" s="1" t="s">
        <v>500</v>
      </c>
      <c r="B119" s="1" t="s">
        <v>501</v>
      </c>
      <c r="C119" s="1" t="s">
        <v>498</v>
      </c>
      <c r="D119" s="1" t="s">
        <v>501</v>
      </c>
      <c r="E119" s="1" t="s">
        <v>10</v>
      </c>
      <c r="F119" s="1" t="s">
        <v>502</v>
      </c>
      <c r="G119" s="1" t="s">
        <v>503</v>
      </c>
      <c r="H119" s="1">
        <f t="shared" si="1"/>
        <v>49981008500000</v>
      </c>
    </row>
    <row r="120" ht="14.25" customHeight="1">
      <c r="A120" s="1" t="s">
        <v>504</v>
      </c>
      <c r="B120" s="1" t="s">
        <v>505</v>
      </c>
      <c r="C120" s="1" t="s">
        <v>502</v>
      </c>
      <c r="D120" s="1" t="s">
        <v>505</v>
      </c>
      <c r="E120" s="1" t="s">
        <v>10</v>
      </c>
      <c r="F120" s="1" t="s">
        <v>506</v>
      </c>
      <c r="G120" s="1" t="s">
        <v>507</v>
      </c>
      <c r="H120" s="1">
        <f t="shared" si="1"/>
        <v>44651017666666</v>
      </c>
    </row>
    <row r="121" ht="14.25" customHeight="1">
      <c r="A121" s="1" t="s">
        <v>508</v>
      </c>
      <c r="B121" s="1" t="s">
        <v>509</v>
      </c>
      <c r="C121" s="1" t="s">
        <v>506</v>
      </c>
      <c r="D121" s="1" t="s">
        <v>509</v>
      </c>
      <c r="E121" s="1" t="s">
        <v>10</v>
      </c>
      <c r="F121" s="1" t="s">
        <v>510</v>
      </c>
      <c r="G121" s="1" t="s">
        <v>511</v>
      </c>
      <c r="H121" s="1">
        <f t="shared" si="1"/>
        <v>45273578499999</v>
      </c>
    </row>
    <row r="122" ht="14.25" customHeight="1">
      <c r="A122" s="1" t="s">
        <v>512</v>
      </c>
      <c r="B122" s="1" t="s">
        <v>513</v>
      </c>
      <c r="C122" s="1" t="s">
        <v>510</v>
      </c>
      <c r="D122" s="1" t="s">
        <v>513</v>
      </c>
      <c r="E122" s="1" t="s">
        <v>10</v>
      </c>
      <c r="F122" s="1" t="s">
        <v>514</v>
      </c>
      <c r="G122" s="1" t="s">
        <v>515</v>
      </c>
      <c r="H122" s="1">
        <f t="shared" si="1"/>
        <v>310662570000000</v>
      </c>
    </row>
    <row r="123" ht="14.25" customHeight="1">
      <c r="A123" s="1" t="s">
        <v>516</v>
      </c>
      <c r="B123" s="1" t="s">
        <v>517</v>
      </c>
      <c r="C123" s="1" t="s">
        <v>514</v>
      </c>
      <c r="D123" s="1" t="s">
        <v>517</v>
      </c>
      <c r="E123" s="1" t="s">
        <v>10</v>
      </c>
      <c r="F123" s="1" t="s">
        <v>518</v>
      </c>
      <c r="G123" s="1" t="s">
        <v>519</v>
      </c>
      <c r="H123" s="1">
        <f t="shared" si="1"/>
        <v>43459913333333</v>
      </c>
    </row>
    <row r="124" ht="14.25" customHeight="1">
      <c r="A124" s="1" t="s">
        <v>520</v>
      </c>
      <c r="B124" s="1" t="s">
        <v>521</v>
      </c>
      <c r="C124" s="1" t="s">
        <v>518</v>
      </c>
      <c r="D124" s="1" t="s">
        <v>521</v>
      </c>
      <c r="E124" s="1" t="s">
        <v>10</v>
      </c>
      <c r="F124" s="1" t="s">
        <v>522</v>
      </c>
      <c r="G124" s="1" t="s">
        <v>523</v>
      </c>
      <c r="H124" s="1">
        <f t="shared" si="1"/>
        <v>3338545333333</v>
      </c>
    </row>
    <row r="125" ht="14.25" customHeight="1">
      <c r="A125" s="1" t="s">
        <v>524</v>
      </c>
      <c r="B125" s="1" t="s">
        <v>525</v>
      </c>
      <c r="C125" s="1" t="s">
        <v>522</v>
      </c>
      <c r="D125" s="1" t="s">
        <v>525</v>
      </c>
      <c r="E125" s="1" t="s">
        <v>10</v>
      </c>
      <c r="F125" s="1" t="s">
        <v>526</v>
      </c>
      <c r="G125" s="1" t="s">
        <v>527</v>
      </c>
      <c r="H125" s="1">
        <f t="shared" si="1"/>
        <v>40951517833333</v>
      </c>
    </row>
    <row r="126" ht="14.25" customHeight="1">
      <c r="A126" s="1" t="s">
        <v>528</v>
      </c>
      <c r="B126" s="1" t="s">
        <v>529</v>
      </c>
      <c r="C126" s="1" t="s">
        <v>526</v>
      </c>
      <c r="D126" s="1" t="s">
        <v>529</v>
      </c>
      <c r="E126" s="1" t="s">
        <v>10</v>
      </c>
      <c r="F126" s="1" t="s">
        <v>530</v>
      </c>
      <c r="G126" s="1" t="s">
        <v>531</v>
      </c>
      <c r="H126" s="1">
        <f t="shared" si="1"/>
        <v>53407060333333</v>
      </c>
    </row>
    <row r="127" ht="14.25" customHeight="1">
      <c r="A127" s="1" t="s">
        <v>532</v>
      </c>
      <c r="B127" s="1" t="s">
        <v>533</v>
      </c>
      <c r="C127" s="1" t="s">
        <v>530</v>
      </c>
      <c r="D127" s="1" t="s">
        <v>530</v>
      </c>
      <c r="E127" s="1" t="s">
        <v>534</v>
      </c>
      <c r="F127" s="1" t="s">
        <v>535</v>
      </c>
      <c r="G127" s="1" t="s">
        <v>536</v>
      </c>
      <c r="H127" s="1">
        <f t="shared" si="1"/>
        <v>341354183333333</v>
      </c>
    </row>
    <row r="128" ht="14.25" customHeight="1">
      <c r="A128" s="1" t="s">
        <v>537</v>
      </c>
      <c r="B128" s="1" t="s">
        <v>538</v>
      </c>
      <c r="C128" s="1" t="s">
        <v>535</v>
      </c>
      <c r="D128" s="1" t="s">
        <v>538</v>
      </c>
      <c r="E128" s="1" t="s">
        <v>10</v>
      </c>
      <c r="F128" s="1" t="s">
        <v>539</v>
      </c>
      <c r="G128" s="1" t="s">
        <v>540</v>
      </c>
      <c r="H128" s="1">
        <f t="shared" si="1"/>
        <v>355230221666667</v>
      </c>
    </row>
    <row r="129" ht="14.25" customHeight="1">
      <c r="A129" s="1" t="s">
        <v>541</v>
      </c>
      <c r="B129" s="1" t="s">
        <v>542</v>
      </c>
      <c r="C129" s="1" t="s">
        <v>539</v>
      </c>
      <c r="D129" s="1" t="s">
        <v>542</v>
      </c>
      <c r="E129" s="1" t="s">
        <v>10</v>
      </c>
      <c r="F129" s="1" t="s">
        <v>543</v>
      </c>
      <c r="G129" s="1" t="s">
        <v>544</v>
      </c>
      <c r="H129" s="1">
        <f t="shared" si="1"/>
        <v>39255478833333</v>
      </c>
    </row>
    <row r="130" ht="14.25" customHeight="1">
      <c r="A130" s="1" t="s">
        <v>545</v>
      </c>
      <c r="B130" s="1" t="s">
        <v>546</v>
      </c>
      <c r="C130" s="1" t="s">
        <v>543</v>
      </c>
      <c r="D130" s="1" t="s">
        <v>546</v>
      </c>
      <c r="E130" s="1" t="s">
        <v>10</v>
      </c>
      <c r="F130" s="1" t="s">
        <v>547</v>
      </c>
      <c r="G130" s="1" t="s">
        <v>548</v>
      </c>
      <c r="H130" s="1">
        <f t="shared" si="1"/>
        <v>382784039999993</v>
      </c>
    </row>
    <row r="131" ht="14.25" customHeight="1">
      <c r="A131" s="1" t="s">
        <v>549</v>
      </c>
      <c r="B131" s="1" t="s">
        <v>550</v>
      </c>
      <c r="C131" s="1" t="s">
        <v>547</v>
      </c>
      <c r="D131" s="1" t="s">
        <v>550</v>
      </c>
      <c r="E131" s="1" t="s">
        <v>10</v>
      </c>
      <c r="F131" s="1" t="s">
        <v>551</v>
      </c>
      <c r="G131" s="1" t="s">
        <v>552</v>
      </c>
      <c r="H131" s="1">
        <f t="shared" si="1"/>
        <v>389910256666667</v>
      </c>
    </row>
    <row r="132" ht="14.25" customHeight="1">
      <c r="A132" s="1" t="s">
        <v>553</v>
      </c>
      <c r="B132" s="1" t="s">
        <v>554</v>
      </c>
      <c r="C132" s="1" t="s">
        <v>551</v>
      </c>
      <c r="D132" s="1" t="s">
        <v>554</v>
      </c>
      <c r="E132" s="1" t="s">
        <v>10</v>
      </c>
      <c r="F132" s="1" t="s">
        <v>555</v>
      </c>
      <c r="G132" s="1" t="s">
        <v>556</v>
      </c>
      <c r="H132" s="1">
        <f t="shared" si="1"/>
        <v>57797581000000</v>
      </c>
    </row>
    <row r="133" ht="14.25" customHeight="1">
      <c r="A133" s="1" t="s">
        <v>557</v>
      </c>
      <c r="B133" s="1" t="s">
        <v>558</v>
      </c>
      <c r="C133" s="1" t="s">
        <v>555</v>
      </c>
      <c r="D133" s="1" t="s">
        <v>555</v>
      </c>
      <c r="E133" s="1" t="s">
        <v>559</v>
      </c>
      <c r="F133" s="1" t="s">
        <v>560</v>
      </c>
      <c r="G133" s="1" t="s">
        <v>561</v>
      </c>
      <c r="H133" s="1">
        <f t="shared" si="1"/>
        <v>4982615666667</v>
      </c>
    </row>
    <row r="134" ht="14.25" customHeight="1">
      <c r="A134" s="1" t="s">
        <v>562</v>
      </c>
      <c r="B134" s="1" t="s">
        <v>563</v>
      </c>
      <c r="C134" s="1" t="s">
        <v>560</v>
      </c>
      <c r="D134" s="1" t="s">
        <v>560</v>
      </c>
      <c r="E134" s="1" t="s">
        <v>564</v>
      </c>
      <c r="F134" s="1" t="s">
        <v>565</v>
      </c>
      <c r="G134" s="1" t="s">
        <v>566</v>
      </c>
      <c r="H134" s="1">
        <f t="shared" si="1"/>
        <v>207895791666665</v>
      </c>
    </row>
    <row r="135" ht="14.25" customHeight="1">
      <c r="A135" s="1" t="s">
        <v>567</v>
      </c>
      <c r="B135" s="1" t="s">
        <v>568</v>
      </c>
      <c r="C135" s="1" t="s">
        <v>565</v>
      </c>
      <c r="D135" s="1" t="s">
        <v>568</v>
      </c>
      <c r="E135" s="1" t="s">
        <v>10</v>
      </c>
      <c r="F135" s="1" t="s">
        <v>569</v>
      </c>
      <c r="G135" s="1" t="s">
        <v>570</v>
      </c>
      <c r="H135" s="1">
        <f t="shared" si="1"/>
        <v>3469463733333</v>
      </c>
    </row>
    <row r="136" ht="14.25" customHeight="1">
      <c r="A136" s="1" t="s">
        <v>571</v>
      </c>
      <c r="B136" s="1" t="s">
        <v>572</v>
      </c>
      <c r="C136" s="1" t="s">
        <v>569</v>
      </c>
      <c r="D136" s="1" t="s">
        <v>572</v>
      </c>
      <c r="E136" s="1" t="s">
        <v>10</v>
      </c>
      <c r="F136" s="1" t="s">
        <v>573</v>
      </c>
      <c r="G136" s="1" t="s">
        <v>574</v>
      </c>
      <c r="H136" s="1">
        <f t="shared" si="1"/>
        <v>330498103333327</v>
      </c>
    </row>
    <row r="137" ht="14.25" customHeight="1">
      <c r="A137" s="1" t="s">
        <v>575</v>
      </c>
      <c r="B137" s="1" t="s">
        <v>576</v>
      </c>
      <c r="C137" s="1" t="s">
        <v>573</v>
      </c>
      <c r="D137" s="1" t="s">
        <v>576</v>
      </c>
      <c r="E137" s="1" t="s">
        <v>10</v>
      </c>
      <c r="F137" s="1" t="s">
        <v>577</v>
      </c>
      <c r="G137" s="1" t="s">
        <v>578</v>
      </c>
      <c r="H137" s="1">
        <f t="shared" si="1"/>
        <v>36043685500000</v>
      </c>
    </row>
    <row r="138" ht="14.25" customHeight="1">
      <c r="A138" s="1" t="s">
        <v>579</v>
      </c>
      <c r="B138" s="1" t="s">
        <v>580</v>
      </c>
      <c r="C138" s="1" t="s">
        <v>577</v>
      </c>
      <c r="D138" s="1" t="s">
        <v>580</v>
      </c>
      <c r="E138" s="1" t="s">
        <v>10</v>
      </c>
      <c r="F138" s="1" t="s">
        <v>581</v>
      </c>
      <c r="G138" s="1" t="s">
        <v>582</v>
      </c>
      <c r="H138" s="1">
        <f t="shared" si="1"/>
        <v>31512387833333</v>
      </c>
    </row>
    <row r="139" ht="14.25" customHeight="1">
      <c r="A139" s="1" t="s">
        <v>583</v>
      </c>
      <c r="B139" s="1" t="s">
        <v>584</v>
      </c>
      <c r="C139" s="1" t="s">
        <v>581</v>
      </c>
      <c r="D139" s="1" t="s">
        <v>584</v>
      </c>
      <c r="E139" s="1" t="s">
        <v>10</v>
      </c>
      <c r="F139" s="1" t="s">
        <v>585</v>
      </c>
      <c r="G139" s="1" t="s">
        <v>586</v>
      </c>
      <c r="H139" s="1">
        <f t="shared" si="1"/>
        <v>431961076666668</v>
      </c>
    </row>
    <row r="140" ht="14.25" customHeight="1">
      <c r="A140" s="1" t="s">
        <v>587</v>
      </c>
      <c r="B140" s="1" t="s">
        <v>588</v>
      </c>
      <c r="C140" s="1" t="s">
        <v>585</v>
      </c>
      <c r="D140" s="1" t="s">
        <v>588</v>
      </c>
      <c r="E140" s="1" t="s">
        <v>10</v>
      </c>
      <c r="F140" s="1" t="s">
        <v>589</v>
      </c>
      <c r="G140" s="1" t="s">
        <v>590</v>
      </c>
      <c r="H140" s="1">
        <f t="shared" si="1"/>
        <v>302184686666660</v>
      </c>
    </row>
    <row r="141" ht="14.25" customHeight="1">
      <c r="A141" s="1" t="s">
        <v>591</v>
      </c>
      <c r="B141" s="1" t="s">
        <v>592</v>
      </c>
      <c r="C141" s="1" t="s">
        <v>589</v>
      </c>
      <c r="D141" s="1" t="s">
        <v>592</v>
      </c>
      <c r="E141" s="1" t="s">
        <v>10</v>
      </c>
      <c r="F141" s="1" t="s">
        <v>593</v>
      </c>
      <c r="G141" s="1" t="s">
        <v>594</v>
      </c>
      <c r="H141" s="1">
        <f t="shared" si="1"/>
        <v>302878603333327</v>
      </c>
    </row>
    <row r="142" ht="14.25" customHeight="1">
      <c r="A142" s="1" t="s">
        <v>595</v>
      </c>
      <c r="B142" s="1" t="s">
        <v>596</v>
      </c>
      <c r="C142" s="1" t="s">
        <v>593</v>
      </c>
      <c r="D142" s="1" t="s">
        <v>596</v>
      </c>
      <c r="E142" s="1" t="s">
        <v>10</v>
      </c>
      <c r="F142" s="1" t="s">
        <v>597</v>
      </c>
      <c r="G142" s="1" t="s">
        <v>598</v>
      </c>
      <c r="H142" s="1">
        <f t="shared" si="1"/>
        <v>37852566499999</v>
      </c>
    </row>
    <row r="143" ht="14.25" customHeight="1">
      <c r="A143" s="1" t="s">
        <v>599</v>
      </c>
      <c r="B143" s="1" t="s">
        <v>600</v>
      </c>
      <c r="C143" s="1" t="s">
        <v>597</v>
      </c>
      <c r="D143" s="1" t="s">
        <v>600</v>
      </c>
      <c r="E143" s="1" t="s">
        <v>10</v>
      </c>
      <c r="F143" s="1" t="s">
        <v>601</v>
      </c>
      <c r="G143" s="1" t="s">
        <v>602</v>
      </c>
      <c r="H143" s="1">
        <f t="shared" si="1"/>
        <v>54127979833333</v>
      </c>
    </row>
    <row r="144" ht="14.25" customHeight="1">
      <c r="A144" s="1" t="s">
        <v>603</v>
      </c>
      <c r="B144" s="1" t="s">
        <v>604</v>
      </c>
      <c r="C144" s="1" t="s">
        <v>601</v>
      </c>
      <c r="D144" s="1" t="s">
        <v>601</v>
      </c>
      <c r="E144" s="1" t="s">
        <v>605</v>
      </c>
      <c r="F144" s="1" t="s">
        <v>606</v>
      </c>
      <c r="G144" s="1" t="s">
        <v>607</v>
      </c>
      <c r="H144" s="1">
        <f t="shared" si="1"/>
        <v>3652572.3</v>
      </c>
    </row>
    <row r="145" ht="14.25" customHeight="1">
      <c r="A145" s="1" t="s">
        <v>608</v>
      </c>
      <c r="B145" s="1" t="s">
        <v>609</v>
      </c>
      <c r="C145" s="1" t="s">
        <v>606</v>
      </c>
      <c r="D145" s="1" t="s">
        <v>609</v>
      </c>
      <c r="E145" s="1" t="s">
        <v>10</v>
      </c>
      <c r="F145" s="1" t="s">
        <v>610</v>
      </c>
    </row>
    <row r="146" ht="14.25" customHeight="1">
      <c r="E146" s="1" t="str">
        <f t="shared" ref="E146:H146" si="2">(E2+E3+E4+E5+E6+E7+E8+E9+E10+E11+E12+E13+E14+E15+E16+E17+E18+E19+E20+E21+E22+E23+E24+E25+E26+E27+E28+E29+E30+E31+E32+E33+E34+E35+E36+E37+E38+E39+E40+E41+E42+E43+E44+E45+E46+E47+E48+E49+E50+E51+E52+E53+E54+E55+E56+E57+E58+E59+E60+E61+E62+E63+E64+E65+E66+E67+E68+E69+E70+E71+E72+E73+E74+E75+E76+E77+E78+E79+E80+E81+E82+E83+E84+E85+E86+E87+E88+E89+E90+E91+E92+E93+E94+E95+E96+E97+E98+E99+E100+E101+E102+E103+E104+E105+E106+E107+E108+E109+E110+E111+E112+E113+E114+E115+E116+E117+E118+E119+E120+E121+E122+E123+E124+E125+E126+E127+E128+E129+E130+E131+E132+E133+E134+E135+E136+E137+E138+E139+E140+E141+E142+E143+E144)</f>
        <v>#VALUE!</v>
      </c>
      <c r="F146" s="1">
        <f t="shared" si="2"/>
        <v>1.17368E+18</v>
      </c>
      <c r="G146" s="1">
        <f t="shared" si="2"/>
        <v>1.19731E+18</v>
      </c>
      <c r="H146" s="1">
        <f t="shared" si="2"/>
        <v>1.99552E+16</v>
      </c>
    </row>
    <row r="147" ht="14.25" customHeight="1">
      <c r="E147" s="3" t="str">
        <f>(E146/144)</f>
        <v>#VALUE!</v>
      </c>
      <c r="G147" s="1">
        <f>(G146/143)</f>
        <v>8.37283E+15</v>
      </c>
    </row>
    <row r="148" ht="14.25" customHeight="1">
      <c r="E148" s="1" t="str">
        <f t="shared" ref="E148:E149" si="3">(E147/60)</f>
        <v>#VALUE!</v>
      </c>
      <c r="G148" s="1">
        <f t="shared" ref="G148:G149" si="4">(G147/60)</f>
        <v>139547088159390</v>
      </c>
      <c r="H148" s="1">
        <f>(H146/143)</f>
        <v>139547088159390</v>
      </c>
    </row>
    <row r="149" ht="14.25" customHeight="1">
      <c r="E149" s="1" t="str">
        <f t="shared" si="3"/>
        <v>#VALUE!</v>
      </c>
      <c r="G149" s="4">
        <f t="shared" si="4"/>
        <v>2325784802657</v>
      </c>
    </row>
    <row r="150" ht="14.25" customHeight="1">
      <c r="G150" s="5" t="s">
        <v>611</v>
      </c>
    </row>
    <row r="151" ht="14.25" customHeight="1">
      <c r="A151" s="7" t="s">
        <v>612</v>
      </c>
      <c r="C151" s="3" t="str">
        <f>(144/43200)*E147</f>
        <v>#VALUE!</v>
      </c>
    </row>
    <row r="152" ht="14.25" customHeight="1">
      <c r="F152" s="1">
        <f>(F146-3045900)</f>
        <v>1.17368E+18</v>
      </c>
      <c r="G152" s="1" t="str">
        <f>(G146+E146)</f>
        <v>#VALUE!</v>
      </c>
    </row>
    <row r="153" ht="14.25" customHeight="1">
      <c r="F153" s="1">
        <f t="shared" ref="F153:G153" si="5">(F152/143)</f>
        <v>8.20755E+15</v>
      </c>
      <c r="G153" s="1" t="str">
        <f t="shared" si="5"/>
        <v>#VALUE!</v>
      </c>
    </row>
    <row r="154" ht="14.25" customHeight="1">
      <c r="A154" s="6" t="s">
        <v>613</v>
      </c>
      <c r="F154" s="1">
        <f t="shared" ref="F154:G154" si="6">(F153/60)</f>
        <v>136792487031525</v>
      </c>
      <c r="G154" s="1" t="str">
        <f t="shared" si="6"/>
        <v>#VALUE!</v>
      </c>
    </row>
    <row r="155" ht="14.25" customHeight="1">
      <c r="A155" s="5" t="s">
        <v>614</v>
      </c>
      <c r="F155" s="1">
        <f t="shared" ref="F155:G155" si="7">(F154/60)</f>
        <v>2279874783859</v>
      </c>
      <c r="G155" s="4" t="str">
        <f t="shared" si="7"/>
        <v>#VALUE!</v>
      </c>
    </row>
    <row r="156" ht="14.25" customHeight="1">
      <c r="G156" s="5" t="s">
        <v>615</v>
      </c>
    </row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2025-11-01T11:10:33Z</dcterms:created>
</cp:coreProperties>
</file>