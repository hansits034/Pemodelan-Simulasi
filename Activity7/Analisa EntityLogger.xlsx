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Activity 7" sheetId="1" r:id="rId4"/>
    <sheet state="visible" name="TellerBankProblem2" sheetId="2" r:id="rId5"/>
    <sheet state="visible" name="TellerBankProblem" sheetId="3" r:id="rId6"/>
  </sheets>
  <definedNames/>
  <calcPr/>
  <extLst>
    <ext uri="GoogleSheetsCustomDataVersion2">
      <go:sheetsCustomData xmlns:go="http://customooxmlschemas.google.com/" r:id="rId7" roundtripDataChecksum="6LXvCCJ66j32hrPp/Pl1pcskEmWfkeiPU/TZfmZ/EtY="/>
    </ext>
  </extLst>
</workbook>
</file>

<file path=xl/sharedStrings.xml><?xml version="1.0" encoding="utf-8"?>
<sst xmlns="http://schemas.openxmlformats.org/spreadsheetml/2006/main" count="964" uniqueCount="382">
  <si>
    <t>Entity Logger 2 (Setelah Selesai Proses)</t>
  </si>
  <si>
    <t>Entity Logger 1 (Sebelum Masuk Antrian)</t>
  </si>
  <si>
    <t>Analisa Queue Time</t>
  </si>
  <si>
    <t>Analisa Queue Length (Metode 1)</t>
  </si>
  <si>
    <t>No</t>
  </si>
  <si>
    <t>this.SimTime/1[h]</t>
  </si>
  <si>
    <t>this.obj</t>
  </si>
  <si>
    <t>this.SimTime/1[h] * 3600</t>
  </si>
  <si>
    <t>[Process].ServiceTime/1[h] * 3600
(Error Kerena JaamSim)</t>
  </si>
  <si>
    <t>[Process].ServiceTime * 3600 / 1[h]
Revised</t>
  </si>
  <si>
    <t>Queue Time</t>
  </si>
  <si>
    <t>Time Interval (detik)</t>
  </si>
  <si>
    <t>Duration (d)</t>
  </si>
  <si>
    <t>Queue Length (L(t))
Salaha ini harus bulat</t>
  </si>
  <si>
    <t>d x L(t)</t>
  </si>
  <si>
    <t>PartsArrive_1</t>
  </si>
  <si>
    <t>Awal</t>
  </si>
  <si>
    <t>Akhir</t>
  </si>
  <si>
    <t>PartsArrive_2</t>
  </si>
  <si>
    <t>PartsArrive_3</t>
  </si>
  <si>
    <t>PartsArrive_4</t>
  </si>
  <si>
    <t>PartsArrive_5</t>
  </si>
  <si>
    <t>PartsArrive_6</t>
  </si>
  <si>
    <t>PartsArrive_7</t>
  </si>
  <si>
    <t>PartsArrive_8</t>
  </si>
  <si>
    <t>PartsArrive_9</t>
  </si>
  <si>
    <t>PartsArrive_10</t>
  </si>
  <si>
    <t>PartsArrive_11</t>
  </si>
  <si>
    <t>PartsArrive_12</t>
  </si>
  <si>
    <t>PartsArrive_13</t>
  </si>
  <si>
    <t>PartsArrive_14</t>
  </si>
  <si>
    <t>PartsArrive_15</t>
  </si>
  <si>
    <t>PartsArrive_16</t>
  </si>
  <si>
    <t>PartsArrive_17</t>
  </si>
  <si>
    <t>PartsArrive_18</t>
  </si>
  <si>
    <t>PartsArrive_19</t>
  </si>
  <si>
    <t>PartsArrive_20</t>
  </si>
  <si>
    <t>PartsArrive_21</t>
  </si>
  <si>
    <t>PartsArrive_22</t>
  </si>
  <si>
    <t>PartsArrive_23</t>
  </si>
  <si>
    <t>PartsArrive_24</t>
  </si>
  <si>
    <t>PartsArrive_25</t>
  </si>
  <si>
    <t>PartsArrive_26</t>
  </si>
  <si>
    <t>PartsArrive_27</t>
  </si>
  <si>
    <t>PartsArrive_28</t>
  </si>
  <si>
    <t>PartsArrive_29</t>
  </si>
  <si>
    <t>PartsArrive_30</t>
  </si>
  <si>
    <t>PartsArrive_31</t>
  </si>
  <si>
    <t>PartsArrive_32</t>
  </si>
  <si>
    <t>PartsArrive_33</t>
  </si>
  <si>
    <t>PartsArrive_34</t>
  </si>
  <si>
    <t>PartsArrive_35</t>
  </si>
  <si>
    <t>PartsArrive_36</t>
  </si>
  <si>
    <t>PartsArrive_37</t>
  </si>
  <si>
    <t>PartsArrive_38</t>
  </si>
  <si>
    <t>PartsArrive_39</t>
  </si>
  <si>
    <t>PartsArrive_40</t>
  </si>
  <si>
    <t>PartsArrive_41</t>
  </si>
  <si>
    <t>PartsArrive_42</t>
  </si>
  <si>
    <t>PartsArrive_43</t>
  </si>
  <si>
    <t>PartsArrive_44</t>
  </si>
  <si>
    <t>PartsArrive_45</t>
  </si>
  <si>
    <t>PartsArrive_46</t>
  </si>
  <si>
    <t>PartsArrive_47</t>
  </si>
  <si>
    <t>PartsArrive_48</t>
  </si>
  <si>
    <t>PartsArrive_49</t>
  </si>
  <si>
    <t>PartsArrive_50</t>
  </si>
  <si>
    <t>PartsArrive_51</t>
  </si>
  <si>
    <t>PartsArrive_52</t>
  </si>
  <si>
    <t>PartsArrive_53</t>
  </si>
  <si>
    <t>PartsArrive_54</t>
  </si>
  <si>
    <t>Weighted Sum (Total  d x L(t))</t>
  </si>
  <si>
    <t>PartsArrive_55</t>
  </si>
  <si>
    <t>Average Queue Length (Weighted Sum/Total waktu)
(No 1)</t>
  </si>
  <si>
    <t>PartsArrive_56</t>
  </si>
  <si>
    <t>PartsArrive_57</t>
  </si>
  <si>
    <t>PartsArrive_58</t>
  </si>
  <si>
    <t>PartsArrive_59</t>
  </si>
  <si>
    <t>Analisa Queue Length (Metode 2)</t>
  </si>
  <si>
    <t>PartsArrive_60</t>
  </si>
  <si>
    <t>Rata-rata Panjang Antrean</t>
  </si>
  <si>
    <t>PartsArrive_61</t>
  </si>
  <si>
    <t>Hukum Little: L_q = lambda * W_q</t>
  </si>
  <si>
    <t>PartsArrive_62</t>
  </si>
  <si>
    <t>L_q = Rata-rata Panjang Antrean (yang kita cari).</t>
  </si>
  <si>
    <t>PartsArrive_63</t>
  </si>
  <si>
    <t>lambda = Rata-rata tingkat kedatangan (part per detik).</t>
  </si>
  <si>
    <t>PartsArrive_64</t>
  </si>
  <si>
    <t>W_q = Rata-rata Waktu Tunggu di Antrean (detik per part).</t>
  </si>
  <si>
    <t>PartsArrive_65</t>
  </si>
  <si>
    <t>PartsArrive_66</t>
  </si>
  <si>
    <t>lambda = 144 part / 43200 detik =</t>
  </si>
  <si>
    <t>PartsArrive_67</t>
  </si>
  <si>
    <t xml:space="preserve">W_q = </t>
  </si>
  <si>
    <t>PartsArrive_68</t>
  </si>
  <si>
    <t>L_q =</t>
  </si>
  <si>
    <t>PartsArrive_69</t>
  </si>
  <si>
    <t>PartsArrive_70</t>
  </si>
  <si>
    <t>PartsArrive_71</t>
  </si>
  <si>
    <t>PartsArrive_72</t>
  </si>
  <si>
    <t>PartsArrive_73</t>
  </si>
  <si>
    <t>PartsArrive_74</t>
  </si>
  <si>
    <t>PartsArrive_75</t>
  </si>
  <si>
    <t>PartsArrive_76</t>
  </si>
  <si>
    <t>PartsArrive_77</t>
  </si>
  <si>
    <t>PartsArrive_78</t>
  </si>
  <si>
    <t>PartsArrive_79</t>
  </si>
  <si>
    <t>PartsArrive_80</t>
  </si>
  <si>
    <t>PartsArrive_81</t>
  </si>
  <si>
    <t>PartsArrive_82</t>
  </si>
  <si>
    <t>PartsArrive_83</t>
  </si>
  <si>
    <t>PartsArrive_84</t>
  </si>
  <si>
    <t>PartsArrive_85</t>
  </si>
  <si>
    <t>PartsArrive_86</t>
  </si>
  <si>
    <t>PartsArrive_87</t>
  </si>
  <si>
    <t>PartsArrive_88</t>
  </si>
  <si>
    <t>PartsArrive_89</t>
  </si>
  <si>
    <t>PartsArrive_90</t>
  </si>
  <si>
    <t>PartsArrive_91</t>
  </si>
  <si>
    <t>PartsArrive_92</t>
  </si>
  <si>
    <t>PartsArrive_93</t>
  </si>
  <si>
    <t>PartsArrive_94</t>
  </si>
  <si>
    <t>PartsArrive_95</t>
  </si>
  <si>
    <t>PartsArrive_96</t>
  </si>
  <si>
    <t>PartsArrive_97</t>
  </si>
  <si>
    <t>PartsArrive_98</t>
  </si>
  <si>
    <t>PartsArrive_99</t>
  </si>
  <si>
    <t>PartsArrive_100</t>
  </si>
  <si>
    <t>PartsArrive_101</t>
  </si>
  <si>
    <t>PartsArrive_102</t>
  </si>
  <si>
    <t>PartsArrive_103</t>
  </si>
  <si>
    <t>PartsArrive_104</t>
  </si>
  <si>
    <t>PartsArrive_105</t>
  </si>
  <si>
    <t>PartsArrive_106</t>
  </si>
  <si>
    <t>PartsArrive_107</t>
  </si>
  <si>
    <t>PartsArrive_108</t>
  </si>
  <si>
    <t>PartsArrive_109</t>
  </si>
  <si>
    <t>PartsArrive_110</t>
  </si>
  <si>
    <t>PartsArrive_111</t>
  </si>
  <si>
    <t>PartsArrive_112</t>
  </si>
  <si>
    <t>PartsArrive_113</t>
  </si>
  <si>
    <t>PartsArrive_114</t>
  </si>
  <si>
    <t>PartsArrive_115</t>
  </si>
  <si>
    <t>PartsArrive_116</t>
  </si>
  <si>
    <t>PartsArrive_117</t>
  </si>
  <si>
    <t>PartsArrive_118</t>
  </si>
  <si>
    <t>PartsArrive_119</t>
  </si>
  <si>
    <t>PartsArrive_120</t>
  </si>
  <si>
    <t>PartsArrive_121</t>
  </si>
  <si>
    <t>PartsArrive_122</t>
  </si>
  <si>
    <t>PartsArrive_123</t>
  </si>
  <si>
    <t>PartsArrive_124</t>
  </si>
  <si>
    <t>PartsArrive_125</t>
  </si>
  <si>
    <t>PartsArrive_126</t>
  </si>
  <si>
    <t>PartsArrive_127</t>
  </si>
  <si>
    <t>PartsArrive_128</t>
  </si>
  <si>
    <t>PartsArrive_129</t>
  </si>
  <si>
    <t>PartsArrive_130</t>
  </si>
  <si>
    <t>PartsArrive_131</t>
  </si>
  <si>
    <t>PartsArrive_132</t>
  </si>
  <si>
    <t>PartsArrive_133</t>
  </si>
  <si>
    <t>PartsArrive_134</t>
  </si>
  <si>
    <t>PartsArrive_135</t>
  </si>
  <si>
    <t>PartsArrive_136</t>
  </si>
  <si>
    <t>PartsArrive_137</t>
  </si>
  <si>
    <t>PartsArrive_138</t>
  </si>
  <si>
    <t>PartsArrive_139</t>
  </si>
  <si>
    <t>PartsArrive_140</t>
  </si>
  <si>
    <t>PartsArrive_141</t>
  </si>
  <si>
    <t>PartsArrive_142</t>
  </si>
  <si>
    <t>PartsArrive_143</t>
  </si>
  <si>
    <t>PartsArrive_144</t>
  </si>
  <si>
    <t>Jumlah 'Part' Yang Selesai Pada Akhir Simulasi
(No 3)</t>
  </si>
  <si>
    <t>Total Processing Time
(No 2)</t>
  </si>
  <si>
    <t>sec</t>
  </si>
  <si>
    <t>Total QT
(No 1)</t>
  </si>
  <si>
    <t>min</t>
  </si>
  <si>
    <t>hour</t>
  </si>
  <si>
    <t xml:space="preserve">Rumus dan Kesimpulan terdapat pada laporan di link drive berikut : </t>
  </si>
  <si>
    <t>Average Processing Time
(No 2)</t>
  </si>
  <si>
    <t>Average QT
(No 1)</t>
  </si>
  <si>
    <t>https://docs.google.com/document/d/1tACjQSb4599Otn8Bi4D80GdgaMGFl26v9ydhz-rXS68/edit?usp=sharing</t>
  </si>
  <si>
    <t>EL2</t>
  </si>
  <si>
    <t>EL1</t>
  </si>
  <si>
    <t>waiting tim in queue</t>
  </si>
  <si>
    <t>[Server1].ServiceTime * 3600 / 1[h]</t>
  </si>
  <si>
    <t>total queue time</t>
  </si>
  <si>
    <t>avg queue time</t>
  </si>
  <si>
    <t>queue length</t>
  </si>
  <si>
    <t>CustomerDatang_1</t>
  </si>
  <si>
    <t>s</t>
  </si>
  <si>
    <t>rata-rata kedatangan per detik</t>
  </si>
  <si>
    <t>CustomerDatang_2</t>
  </si>
  <si>
    <t>166 orang</t>
  </si>
  <si>
    <t>CustomerDatang_3</t>
  </si>
  <si>
    <t>h</t>
  </si>
  <si>
    <t>6 jam =</t>
  </si>
  <si>
    <t>360 menit =</t>
  </si>
  <si>
    <t>21600 sec</t>
  </si>
  <si>
    <t>CustomerDatang_4</t>
  </si>
  <si>
    <t xml:space="preserve">lambda = </t>
  </si>
  <si>
    <t>CustomerDatang_5</t>
  </si>
  <si>
    <t>ql=</t>
  </si>
  <si>
    <t>CustomerDatang_6</t>
  </si>
  <si>
    <t>CustomerDatang_7</t>
  </si>
  <si>
    <t>CustomerDatang_8</t>
  </si>
  <si>
    <t>CustomerDatang_9</t>
  </si>
  <si>
    <t>CustomerDatang_10</t>
  </si>
  <si>
    <t>CustomerDatang_11</t>
  </si>
  <si>
    <t>CustomerDatang_12</t>
  </si>
  <si>
    <t>CustomerDatang_13</t>
  </si>
  <si>
    <t>CustomerDatang_14</t>
  </si>
  <si>
    <t>CustomerDatang_15</t>
  </si>
  <si>
    <t>CustomerDatang_16</t>
  </si>
  <si>
    <t>CustomerDatang_17</t>
  </si>
  <si>
    <t>CustomerDatang_18</t>
  </si>
  <si>
    <t>CustomerDatang_19</t>
  </si>
  <si>
    <t>CustomerDatang_20</t>
  </si>
  <si>
    <t>CustomerDatang_21</t>
  </si>
  <si>
    <t>CustomerDatang_22</t>
  </si>
  <si>
    <t>CustomerDatang_23</t>
  </si>
  <si>
    <t>CustomerDatang_24</t>
  </si>
  <si>
    <t>CustomerDatang_25</t>
  </si>
  <si>
    <t>CustomerDatang_26</t>
  </si>
  <si>
    <t>CustomerDatang_27</t>
  </si>
  <si>
    <t>CustomerDatang_28</t>
  </si>
  <si>
    <t>CustomerDatang_29</t>
  </si>
  <si>
    <t>CustomerDatang_30</t>
  </si>
  <si>
    <t>CustomerDatang_31</t>
  </si>
  <si>
    <t>CustomerDatang_32</t>
  </si>
  <si>
    <t>CustomerDatang_33</t>
  </si>
  <si>
    <t>CustomerDatang_34</t>
  </si>
  <si>
    <t>CustomerDatang_35</t>
  </si>
  <si>
    <t>CustomerDatang_36</t>
  </si>
  <si>
    <t>CustomerDatang_37</t>
  </si>
  <si>
    <t>CustomerDatang_38</t>
  </si>
  <si>
    <t>CustomerDatang_39</t>
  </si>
  <si>
    <t>CustomerDatang_40</t>
  </si>
  <si>
    <t>CustomerDatang_41</t>
  </si>
  <si>
    <t>CustomerDatang_42</t>
  </si>
  <si>
    <t>CustomerDatang_43</t>
  </si>
  <si>
    <t>CustomerDatang_44</t>
  </si>
  <si>
    <t>CustomerDatang_45</t>
  </si>
  <si>
    <t>CustomerDatang_46</t>
  </si>
  <si>
    <t>CustomerDatang_47</t>
  </si>
  <si>
    <t>CustomerDatang_48</t>
  </si>
  <si>
    <t>CustomerDatang_49</t>
  </si>
  <si>
    <t>CustomerDatang_50</t>
  </si>
  <si>
    <t>CustomerDatang_51</t>
  </si>
  <si>
    <t>CustomerDatang_52</t>
  </si>
  <si>
    <t>CustomerDatang_53</t>
  </si>
  <si>
    <t>CustomerDatang_54</t>
  </si>
  <si>
    <t>CustomerDatang_55</t>
  </si>
  <si>
    <t>CustomerDatang_56</t>
  </si>
  <si>
    <t>CustomerDatang_57</t>
  </si>
  <si>
    <t>CustomerDatang_58</t>
  </si>
  <si>
    <t>CustomerDatang_59</t>
  </si>
  <si>
    <t>CustomerDatang_60</t>
  </si>
  <si>
    <t>CustomerDatang_61</t>
  </si>
  <si>
    <t>CustomerDatang_62</t>
  </si>
  <si>
    <t>CustomerDatang_63</t>
  </si>
  <si>
    <t>CustomerDatang_64</t>
  </si>
  <si>
    <t>CustomerDatang_65</t>
  </si>
  <si>
    <t>CustomerDatang_66</t>
  </si>
  <si>
    <t>CustomerDatang_67</t>
  </si>
  <si>
    <t>CustomerDatang_68</t>
  </si>
  <si>
    <t>CustomerDatang_69</t>
  </si>
  <si>
    <t>CustomerDatang_70</t>
  </si>
  <si>
    <t>CustomerDatang_71</t>
  </si>
  <si>
    <t>CustomerDatang_72</t>
  </si>
  <si>
    <t>CustomerDatang_73</t>
  </si>
  <si>
    <t>CustomerDatang_74</t>
  </si>
  <si>
    <t>CustomerDatang_75</t>
  </si>
  <si>
    <t>CustomerDatang_76</t>
  </si>
  <si>
    <t>CustomerDatang_77</t>
  </si>
  <si>
    <t>CustomerDatang_78</t>
  </si>
  <si>
    <t>CustomerDatang_79</t>
  </si>
  <si>
    <t>CustomerDatang_80</t>
  </si>
  <si>
    <t>CustomerDatang_81</t>
  </si>
  <si>
    <t>CustomerDatang_82</t>
  </si>
  <si>
    <t>CustomerDatang_83</t>
  </si>
  <si>
    <t>CustomerDatang_84</t>
  </si>
  <si>
    <t>CustomerDatang_85</t>
  </si>
  <si>
    <t>CustomerDatang_86</t>
  </si>
  <si>
    <t>CustomerDatang_87</t>
  </si>
  <si>
    <t>CustomerDatang_88</t>
  </si>
  <si>
    <t>CustomerDatang_89</t>
  </si>
  <si>
    <t>CustomerDatang_90</t>
  </si>
  <si>
    <t>CustomerDatang_91</t>
  </si>
  <si>
    <t>CustomerDatang_92</t>
  </si>
  <si>
    <t>CustomerDatang_93</t>
  </si>
  <si>
    <t>CustomerDatang_94</t>
  </si>
  <si>
    <t>CustomerDatang_95</t>
  </si>
  <si>
    <t>CustomerDatang_96</t>
  </si>
  <si>
    <t>CustomerDatang_97</t>
  </si>
  <si>
    <t>CustomerDatang_98</t>
  </si>
  <si>
    <t>CustomerDatang_99</t>
  </si>
  <si>
    <t>CustomerDatang_100</t>
  </si>
  <si>
    <t>CustomerDatang_101</t>
  </si>
  <si>
    <t>CustomerDatang_102</t>
  </si>
  <si>
    <t>CustomerDatang_103</t>
  </si>
  <si>
    <t>CustomerDatang_104</t>
  </si>
  <si>
    <t>CustomerDatang_105</t>
  </si>
  <si>
    <t>CustomerDatang_106</t>
  </si>
  <si>
    <t>CustomerDatang_107</t>
  </si>
  <si>
    <t>CustomerDatang_108</t>
  </si>
  <si>
    <t>CustomerDatang_109</t>
  </si>
  <si>
    <t>CustomerDatang_110</t>
  </si>
  <si>
    <t>CustomerDatang_111</t>
  </si>
  <si>
    <t>CustomerDatang_112</t>
  </si>
  <si>
    <t>CustomerDatang_113</t>
  </si>
  <si>
    <t>CustomerDatang_114</t>
  </si>
  <si>
    <t>CustomerDatang_115</t>
  </si>
  <si>
    <t>CustomerDatang_116</t>
  </si>
  <si>
    <t>CustomerDatang_117</t>
  </si>
  <si>
    <t>CustomerDatang_118</t>
  </si>
  <si>
    <t>CustomerDatang_119</t>
  </si>
  <si>
    <t>CustomerDatang_120</t>
  </si>
  <si>
    <t>CustomerDatang_121</t>
  </si>
  <si>
    <t>CustomerDatang_122</t>
  </si>
  <si>
    <t>CustomerDatang_123</t>
  </si>
  <si>
    <t>CustomerDatang_124</t>
  </si>
  <si>
    <t>CustomerDatang_125</t>
  </si>
  <si>
    <t>CustomerDatang_126</t>
  </si>
  <si>
    <t>CustomerDatang_127</t>
  </si>
  <si>
    <t>CustomerDatang_128</t>
  </si>
  <si>
    <t>CustomerDatang_129</t>
  </si>
  <si>
    <t>CustomerDatang_130</t>
  </si>
  <si>
    <t>CustomerDatang_131</t>
  </si>
  <si>
    <t>CustomerDatang_132</t>
  </si>
  <si>
    <t>CustomerDatang_133</t>
  </si>
  <si>
    <t>CustomerDatang_134</t>
  </si>
  <si>
    <t>CustomerDatang_135</t>
  </si>
  <si>
    <t>CustomerDatang_136</t>
  </si>
  <si>
    <t>CustomerDatang_137</t>
  </si>
  <si>
    <t>CustomerDatang_138</t>
  </si>
  <si>
    <t>CustomerDatang_139</t>
  </si>
  <si>
    <t>CustomerDatang_140</t>
  </si>
  <si>
    <t>CustomerDatang_141</t>
  </si>
  <si>
    <t>CustomerDatang_142</t>
  </si>
  <si>
    <t>CustomerDatang_143</t>
  </si>
  <si>
    <t>CustomerDatang_144</t>
  </si>
  <si>
    <t>CustomerDatang_145</t>
  </si>
  <si>
    <t>CustomerDatang_146</t>
  </si>
  <si>
    <t>CustomerDatang_147</t>
  </si>
  <si>
    <t>CustomerDatang_148</t>
  </si>
  <si>
    <t>CustomerDatang_149</t>
  </si>
  <si>
    <t>CustomerDatang_150</t>
  </si>
  <si>
    <t>CustomerDatang_151</t>
  </si>
  <si>
    <t>CustomerDatang_152</t>
  </si>
  <si>
    <t>CustomerDatang_153</t>
  </si>
  <si>
    <t>CustomerDatang_154</t>
  </si>
  <si>
    <t>CustomerDatang_155</t>
  </si>
  <si>
    <t>CustomerDatang_156</t>
  </si>
  <si>
    <t>CustomerDatang_157</t>
  </si>
  <si>
    <t>CustomerDatang_158</t>
  </si>
  <si>
    <t>CustomerDatang_159</t>
  </si>
  <si>
    <t>CustomerDatang_160</t>
  </si>
  <si>
    <t>CustomerDatang_161</t>
  </si>
  <si>
    <t>CustomerDatang_162</t>
  </si>
  <si>
    <t>CustomerDatang_163</t>
  </si>
  <si>
    <t>CustomerDatang_164</t>
  </si>
  <si>
    <t>CustomerDatang_165</t>
  </si>
  <si>
    <t>CustomerDatang_166</t>
  </si>
  <si>
    <t>no</t>
  </si>
  <si>
    <t>queue time</t>
  </si>
  <si>
    <t>[Teller].ServiceTime * 3600 / 1[h]</t>
  </si>
  <si>
    <t>m</t>
  </si>
  <si>
    <t>CustomerDatang_167</t>
  </si>
  <si>
    <t>CustomerDatang_168</t>
  </si>
  <si>
    <t>CustomerDatang_169</t>
  </si>
  <si>
    <t>CustomerDatang_170</t>
  </si>
  <si>
    <t>CustomerDatang_171</t>
  </si>
  <si>
    <t>CustomerDatang_172</t>
  </si>
  <si>
    <t>CustomerDatang_173</t>
  </si>
  <si>
    <t>CustomerDatang_174</t>
  </si>
  <si>
    <t>CustomerDatang_175</t>
  </si>
  <si>
    <t>CustomerDatang_176</t>
  </si>
  <si>
    <t>CustomerDatang_177</t>
  </si>
  <si>
    <t>CustomerDatang_178</t>
  </si>
  <si>
    <t>CustomerDatang_179</t>
  </si>
  <si>
    <t>CustomerDatang_180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</si>
</sst>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1" numFmtId="0" xfId="0" applyBorder="1" applyFont="1"/>
    <xf borderId="6" fillId="0" fontId="2" numFmtId="0" xfId="0" applyBorder="1" applyFont="1"/>
    <xf borderId="4" fillId="3" fontId="1" numFmtId="0" xfId="0" applyAlignment="1" applyBorder="1" applyFont="1">
      <alignment vertical="center"/>
    </xf>
    <xf borderId="0" fillId="0" fontId="1" numFmtId="0" xfId="0" applyFont="1"/>
    <xf borderId="5" fillId="0" fontId="1" numFmtId="0" xfId="0" applyBorder="1" applyFont="1"/>
    <xf borderId="7" fillId="0" fontId="1" numFmtId="0" xfId="0" applyBorder="1" applyFont="1"/>
    <xf borderId="1" fillId="4" fontId="1" numFmtId="0" xfId="0" applyBorder="1" applyFill="1" applyFont="1"/>
    <xf borderId="4" fillId="4" fontId="1" numFmtId="0" xfId="0" applyBorder="1" applyFont="1"/>
    <xf borderId="8" fillId="4" fontId="1" numFmtId="0" xfId="0" applyAlignment="1" applyBorder="1" applyFont="1">
      <alignment vertical="center"/>
    </xf>
    <xf borderId="7" fillId="0" fontId="2" numFmtId="0" xfId="0" applyBorder="1" applyFont="1"/>
    <xf borderId="9" fillId="0" fontId="2" numFmtId="0" xfId="0" applyBorder="1" applyFont="1"/>
    <xf borderId="5" fillId="4" fontId="1" numFmtId="0" xfId="0" applyAlignment="1" applyBorder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1" fillId="5" fontId="4" numFmtId="0" xfId="0" applyBorder="1" applyFill="1" applyFont="1"/>
    <xf borderId="1" fillId="0" fontId="1" numFmtId="0" xfId="0" applyBorder="1" applyFont="1"/>
    <xf borderId="8" fillId="6" fontId="1" numFmtId="0" xfId="0" applyAlignment="1" applyBorder="1" applyFill="1" applyFont="1">
      <alignment shrinkToFit="0" wrapText="1"/>
    </xf>
    <xf borderId="5" fillId="6" fontId="1" numFmtId="0" xfId="0" applyBorder="1" applyFont="1"/>
    <xf borderId="5" fillId="7" fontId="1" numFmtId="0" xfId="0" applyAlignment="1" applyBorder="1" applyFill="1" applyFont="1">
      <alignment vertical="center"/>
    </xf>
    <xf borderId="4" fillId="7" fontId="1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8" fillId="0" fontId="5" numFmtId="0" xfId="0" applyAlignment="1" applyBorder="1" applyFont="1">
      <alignment shrinkToFit="0" vertical="bottom" wrapText="1"/>
    </xf>
    <xf borderId="8" fillId="0" fontId="6" numFmtId="0" xfId="0" applyAlignment="1" applyBorder="1" applyFont="1">
      <alignment shrinkToFit="0" vertical="bottom" wrapText="1"/>
    </xf>
    <xf borderId="1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ACjQSb4599Otn8Bi4D80GdgaMGFl26v9ydhz-rXS68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71"/>
    <col customWidth="1" min="4" max="4" width="26.29"/>
    <col customWidth="1" min="5" max="5" width="31.0"/>
    <col customWidth="1" min="6" max="6" width="30.86"/>
    <col customWidth="1" min="10" max="10" width="19.14"/>
    <col customWidth="1" min="12" max="12" width="22.57"/>
    <col customWidth="1" min="15" max="15" width="16.86"/>
    <col customWidth="1" min="19" max="19" width="12.43"/>
    <col customWidth="1" min="20" max="20" width="12.86"/>
    <col customWidth="1" min="22" max="22" width="18.29"/>
  </cols>
  <sheetData>
    <row r="9">
      <c r="A9" s="1" t="s">
        <v>0</v>
      </c>
      <c r="B9" s="2"/>
      <c r="C9" s="2"/>
      <c r="D9" s="2"/>
      <c r="E9" s="2"/>
      <c r="F9" s="3"/>
      <c r="G9" s="4"/>
      <c r="H9" s="4"/>
      <c r="I9" s="1" t="s">
        <v>1</v>
      </c>
      <c r="J9" s="2"/>
      <c r="K9" s="2"/>
      <c r="L9" s="3"/>
      <c r="M9" s="4"/>
      <c r="N9" s="1" t="s">
        <v>2</v>
      </c>
      <c r="O9" s="3"/>
      <c r="P9" s="4"/>
      <c r="Q9" s="4"/>
      <c r="R9" s="1" t="s">
        <v>3</v>
      </c>
      <c r="S9" s="2"/>
      <c r="T9" s="2"/>
      <c r="U9" s="2"/>
      <c r="V9" s="2"/>
      <c r="W9" s="3"/>
    </row>
    <row r="10" ht="30.75" customHeight="1">
      <c r="A10" s="5" t="s">
        <v>4</v>
      </c>
      <c r="B10" s="5" t="s">
        <v>5</v>
      </c>
      <c r="C10" s="5" t="s">
        <v>6</v>
      </c>
      <c r="D10" s="5" t="s">
        <v>7</v>
      </c>
      <c r="E10" s="5" t="s">
        <v>8</v>
      </c>
      <c r="F10" s="5" t="s">
        <v>9</v>
      </c>
      <c r="G10" s="6"/>
      <c r="H10" s="6"/>
      <c r="I10" s="5" t="s">
        <v>4</v>
      </c>
      <c r="J10" s="5" t="s">
        <v>5</v>
      </c>
      <c r="K10" s="5" t="s">
        <v>6</v>
      </c>
      <c r="L10" s="5" t="s">
        <v>7</v>
      </c>
      <c r="M10" s="6"/>
      <c r="N10" s="5" t="s">
        <v>4</v>
      </c>
      <c r="O10" s="5" t="s">
        <v>10</v>
      </c>
      <c r="P10" s="4"/>
      <c r="Q10" s="4"/>
      <c r="R10" s="7" t="s">
        <v>4</v>
      </c>
      <c r="S10" s="8" t="s">
        <v>11</v>
      </c>
      <c r="T10" s="3"/>
      <c r="U10" s="7" t="s">
        <v>12</v>
      </c>
      <c r="V10" s="7" t="s">
        <v>13</v>
      </c>
      <c r="W10" s="7" t="s">
        <v>14</v>
      </c>
    </row>
    <row r="11">
      <c r="A11" s="9">
        <v>1.0</v>
      </c>
      <c r="B11" s="9">
        <v>0.0955732030555555</v>
      </c>
      <c r="C11" s="9" t="s">
        <v>15</v>
      </c>
      <c r="D11" s="9">
        <v>344.063531</v>
      </c>
      <c r="E11" s="9">
        <v>220.384815510387</v>
      </c>
      <c r="F11" s="9">
        <f t="shared" ref="F11:F154" si="1">D11-L11-O11</f>
        <v>284.063531</v>
      </c>
      <c r="I11" s="9">
        <v>1.0</v>
      </c>
      <c r="J11" s="9">
        <v>0.0166666666666666</v>
      </c>
      <c r="K11" s="9" t="s">
        <v>15</v>
      </c>
      <c r="L11" s="9">
        <v>60.0</v>
      </c>
      <c r="N11" s="9">
        <v>1.0</v>
      </c>
      <c r="O11" s="9">
        <v>0.0</v>
      </c>
      <c r="R11" s="10"/>
      <c r="S11" s="11" t="s">
        <v>16</v>
      </c>
      <c r="T11" s="11" t="s">
        <v>17</v>
      </c>
      <c r="U11" s="10"/>
      <c r="V11" s="10"/>
      <c r="W11" s="10"/>
    </row>
    <row r="12">
      <c r="A12" s="9">
        <f t="shared" ref="A12:A154" si="2">A11+1</f>
        <v>2</v>
      </c>
      <c r="B12" s="9">
        <v>0.163122717222222</v>
      </c>
      <c r="C12" s="9" t="s">
        <v>18</v>
      </c>
      <c r="D12" s="9">
        <v>587.241782</v>
      </c>
      <c r="E12" s="9">
        <v>232.320453544766</v>
      </c>
      <c r="F12" s="9">
        <f t="shared" si="1"/>
        <v>227.241782</v>
      </c>
      <c r="I12" s="9">
        <f t="shared" ref="I12:I154" si="3">I11+1</f>
        <v>2</v>
      </c>
      <c r="J12" s="9">
        <v>0.1</v>
      </c>
      <c r="K12" s="9" t="s">
        <v>18</v>
      </c>
      <c r="L12" s="9">
        <v>360.0</v>
      </c>
      <c r="N12" s="9">
        <f t="shared" ref="N12:N154" si="4">N11+1</f>
        <v>2</v>
      </c>
      <c r="O12" s="9">
        <f t="shared" ref="O12:O154" si="5">if(L12&lt;D11, D11-L12, 0)</f>
        <v>0</v>
      </c>
      <c r="R12" s="9">
        <v>1.0</v>
      </c>
      <c r="S12" s="9">
        <v>0.0</v>
      </c>
      <c r="T12" s="9">
        <f>L22</f>
        <v>3360</v>
      </c>
      <c r="U12" s="9">
        <f t="shared" ref="U12:U60" si="6">T12-S12</f>
        <v>3360</v>
      </c>
      <c r="V12" s="9">
        <v>0.0</v>
      </c>
      <c r="W12" s="9">
        <f t="shared" ref="W12:W60" si="7">V12*U12</f>
        <v>0</v>
      </c>
    </row>
    <row r="13">
      <c r="A13" s="9">
        <f t="shared" si="2"/>
        <v>3</v>
      </c>
      <c r="B13" s="9">
        <v>0.224736610555555</v>
      </c>
      <c r="C13" s="9" t="s">
        <v>19</v>
      </c>
      <c r="D13" s="9">
        <v>809.051798</v>
      </c>
      <c r="E13" s="9">
        <v>206.673897918069</v>
      </c>
      <c r="F13" s="9">
        <f t="shared" si="1"/>
        <v>149.051798</v>
      </c>
      <c r="I13" s="9">
        <f t="shared" si="3"/>
        <v>3</v>
      </c>
      <c r="J13" s="9">
        <v>0.183333333333333</v>
      </c>
      <c r="K13" s="9" t="s">
        <v>19</v>
      </c>
      <c r="L13" s="9">
        <v>660.0</v>
      </c>
      <c r="N13" s="9">
        <f t="shared" si="4"/>
        <v>3</v>
      </c>
      <c r="O13" s="9">
        <f t="shared" si="5"/>
        <v>0</v>
      </c>
      <c r="R13" s="9">
        <f t="shared" ref="R13:R60" si="8">R12+1</f>
        <v>2</v>
      </c>
      <c r="S13" s="9">
        <f t="shared" ref="S13:S60" si="9">T12</f>
        <v>3360</v>
      </c>
      <c r="T13" s="9">
        <f>D21</f>
        <v>3432.029435</v>
      </c>
      <c r="U13" s="9">
        <f t="shared" si="6"/>
        <v>72.029435</v>
      </c>
      <c r="V13" s="9">
        <v>1.0</v>
      </c>
      <c r="W13" s="9">
        <f t="shared" si="7"/>
        <v>72.029435</v>
      </c>
    </row>
    <row r="14">
      <c r="A14" s="9">
        <f t="shared" si="2"/>
        <v>4</v>
      </c>
      <c r="B14" s="9">
        <v>0.335426615833333</v>
      </c>
      <c r="C14" s="9" t="s">
        <v>20</v>
      </c>
      <c r="D14" s="9">
        <v>1207.535817</v>
      </c>
      <c r="E14" s="9">
        <v>328.095698553726</v>
      </c>
      <c r="F14" s="9">
        <f t="shared" si="1"/>
        <v>247.535817</v>
      </c>
      <c r="I14" s="9">
        <f t="shared" si="3"/>
        <v>4</v>
      </c>
      <c r="J14" s="9">
        <v>0.266666666666666</v>
      </c>
      <c r="K14" s="9" t="s">
        <v>20</v>
      </c>
      <c r="L14" s="9">
        <v>960.0</v>
      </c>
      <c r="N14" s="9">
        <f t="shared" si="4"/>
        <v>4</v>
      </c>
      <c r="O14" s="9">
        <f t="shared" si="5"/>
        <v>0</v>
      </c>
      <c r="R14" s="9">
        <f t="shared" si="8"/>
        <v>3</v>
      </c>
      <c r="S14" s="9">
        <f t="shared" si="9"/>
        <v>3432.029435</v>
      </c>
      <c r="T14" s="9">
        <f>L29</f>
        <v>5460</v>
      </c>
      <c r="U14" s="9">
        <f t="shared" si="6"/>
        <v>2027.970565</v>
      </c>
      <c r="V14" s="9">
        <v>0.0</v>
      </c>
      <c r="W14" s="9">
        <f t="shared" si="7"/>
        <v>0</v>
      </c>
    </row>
    <row r="15">
      <c r="A15" s="9">
        <f t="shared" si="2"/>
        <v>5</v>
      </c>
      <c r="B15" s="9">
        <v>0.404544236388888</v>
      </c>
      <c r="C15" s="9" t="s">
        <v>21</v>
      </c>
      <c r="D15" s="9">
        <v>1456.35925099999</v>
      </c>
      <c r="E15" s="9">
        <v>252.007587607703</v>
      </c>
      <c r="F15" s="9">
        <f t="shared" si="1"/>
        <v>196.359251</v>
      </c>
      <c r="I15" s="9">
        <f t="shared" si="3"/>
        <v>5</v>
      </c>
      <c r="J15" s="9">
        <v>0.35</v>
      </c>
      <c r="K15" s="9" t="s">
        <v>21</v>
      </c>
      <c r="L15" s="9">
        <v>1260.0</v>
      </c>
      <c r="N15" s="9">
        <f t="shared" si="4"/>
        <v>5</v>
      </c>
      <c r="O15" s="9">
        <f t="shared" si="5"/>
        <v>0</v>
      </c>
      <c r="R15" s="9">
        <f t="shared" si="8"/>
        <v>4</v>
      </c>
      <c r="S15" s="9">
        <f t="shared" si="9"/>
        <v>5460</v>
      </c>
      <c r="T15" s="9">
        <f>D28</f>
        <v>5485.396299</v>
      </c>
      <c r="U15" s="9">
        <f t="shared" si="6"/>
        <v>25.396299</v>
      </c>
      <c r="V15" s="9">
        <v>1.0</v>
      </c>
      <c r="W15" s="9">
        <f t="shared" si="7"/>
        <v>25.396299</v>
      </c>
    </row>
    <row r="16">
      <c r="A16" s="9">
        <f t="shared" si="2"/>
        <v>6</v>
      </c>
      <c r="B16" s="9">
        <v>0.496307356111111</v>
      </c>
      <c r="C16" s="9" t="s">
        <v>22</v>
      </c>
      <c r="D16" s="9">
        <v>1786.70648199999</v>
      </c>
      <c r="E16" s="9">
        <v>295.836707081827</v>
      </c>
      <c r="F16" s="9">
        <f t="shared" si="1"/>
        <v>226.706482</v>
      </c>
      <c r="I16" s="9">
        <f t="shared" si="3"/>
        <v>6</v>
      </c>
      <c r="J16" s="9">
        <v>0.433333333333333</v>
      </c>
      <c r="K16" s="9" t="s">
        <v>22</v>
      </c>
      <c r="L16" s="9">
        <v>1560.0</v>
      </c>
      <c r="N16" s="9">
        <f t="shared" si="4"/>
        <v>6</v>
      </c>
      <c r="O16" s="9">
        <f t="shared" si="5"/>
        <v>0</v>
      </c>
      <c r="R16" s="9">
        <f t="shared" si="8"/>
        <v>5</v>
      </c>
      <c r="S16" s="9">
        <f t="shared" si="9"/>
        <v>5485.396299</v>
      </c>
      <c r="T16" s="9">
        <f>L47</f>
        <v>10860</v>
      </c>
      <c r="U16" s="9">
        <f t="shared" si="6"/>
        <v>5374.603701</v>
      </c>
      <c r="V16" s="9">
        <v>0.0</v>
      </c>
      <c r="W16" s="9">
        <f t="shared" si="7"/>
        <v>0</v>
      </c>
    </row>
    <row r="17">
      <c r="A17" s="9">
        <f t="shared" si="2"/>
        <v>7</v>
      </c>
      <c r="B17" s="9">
        <v>0.581244303333333</v>
      </c>
      <c r="C17" s="9" t="s">
        <v>23</v>
      </c>
      <c r="D17" s="9">
        <v>2092.479492</v>
      </c>
      <c r="E17" s="9">
        <v>157.48421189467</v>
      </c>
      <c r="F17" s="9">
        <f t="shared" si="1"/>
        <v>232.479492</v>
      </c>
      <c r="I17" s="9">
        <f t="shared" si="3"/>
        <v>7</v>
      </c>
      <c r="J17" s="9">
        <v>0.516666666666666</v>
      </c>
      <c r="K17" s="9" t="s">
        <v>23</v>
      </c>
      <c r="L17" s="9">
        <v>1860.0</v>
      </c>
      <c r="N17" s="9">
        <f t="shared" si="4"/>
        <v>7</v>
      </c>
      <c r="O17" s="9">
        <f t="shared" si="5"/>
        <v>0</v>
      </c>
      <c r="R17" s="9">
        <f t="shared" si="8"/>
        <v>6</v>
      </c>
      <c r="S17" s="9">
        <f t="shared" si="9"/>
        <v>10860</v>
      </c>
      <c r="T17" s="9">
        <f>D46</f>
        <v>10906.83854</v>
      </c>
      <c r="U17" s="9">
        <f t="shared" si="6"/>
        <v>46.838543</v>
      </c>
      <c r="V17" s="9">
        <v>1.0</v>
      </c>
      <c r="W17" s="9">
        <f t="shared" si="7"/>
        <v>46.838543</v>
      </c>
    </row>
    <row r="18">
      <c r="A18" s="9">
        <f t="shared" si="2"/>
        <v>8</v>
      </c>
      <c r="B18" s="9">
        <v>0.662293661666666</v>
      </c>
      <c r="C18" s="9" t="s">
        <v>24</v>
      </c>
      <c r="D18" s="9">
        <v>2384.257182</v>
      </c>
      <c r="E18" s="9">
        <v>227.860102646081</v>
      </c>
      <c r="F18" s="9">
        <f t="shared" si="1"/>
        <v>224.257182</v>
      </c>
      <c r="I18" s="9">
        <f t="shared" si="3"/>
        <v>8</v>
      </c>
      <c r="J18" s="9">
        <v>0.6</v>
      </c>
      <c r="K18" s="9" t="s">
        <v>24</v>
      </c>
      <c r="L18" s="9">
        <v>2160.0</v>
      </c>
      <c r="N18" s="9">
        <f t="shared" si="4"/>
        <v>8</v>
      </c>
      <c r="O18" s="9">
        <f t="shared" si="5"/>
        <v>0</v>
      </c>
      <c r="R18" s="9">
        <f t="shared" si="8"/>
        <v>7</v>
      </c>
      <c r="S18" s="9">
        <f t="shared" si="9"/>
        <v>10906.83854</v>
      </c>
      <c r="T18" s="9">
        <f>L64</f>
        <v>15960</v>
      </c>
      <c r="U18" s="9">
        <f t="shared" si="6"/>
        <v>5053.161457</v>
      </c>
      <c r="V18" s="9">
        <v>0.0</v>
      </c>
      <c r="W18" s="9">
        <f t="shared" si="7"/>
        <v>0</v>
      </c>
    </row>
    <row r="19">
      <c r="A19" s="9">
        <f t="shared" si="2"/>
        <v>9</v>
      </c>
      <c r="B19" s="9">
        <v>0.747374612777777</v>
      </c>
      <c r="C19" s="9" t="s">
        <v>25</v>
      </c>
      <c r="D19" s="9">
        <v>2690.548606</v>
      </c>
      <c r="E19" s="9">
        <v>294.531678192427</v>
      </c>
      <c r="F19" s="9">
        <f t="shared" si="1"/>
        <v>230.548606</v>
      </c>
      <c r="I19" s="9">
        <f t="shared" si="3"/>
        <v>9</v>
      </c>
      <c r="J19" s="9">
        <v>0.683333333333333</v>
      </c>
      <c r="K19" s="9" t="s">
        <v>25</v>
      </c>
      <c r="L19" s="9">
        <v>2460.0</v>
      </c>
      <c r="N19" s="9">
        <f t="shared" si="4"/>
        <v>9</v>
      </c>
      <c r="O19" s="9">
        <f t="shared" si="5"/>
        <v>0</v>
      </c>
      <c r="R19" s="9">
        <f t="shared" si="8"/>
        <v>8</v>
      </c>
      <c r="S19" s="9">
        <f t="shared" si="9"/>
        <v>15960</v>
      </c>
      <c r="T19" s="9">
        <f>D63</f>
        <v>16023.20713</v>
      </c>
      <c r="U19" s="9">
        <f t="shared" si="6"/>
        <v>63.207133</v>
      </c>
      <c r="V19" s="9">
        <v>1.0</v>
      </c>
      <c r="W19" s="9">
        <f t="shared" si="7"/>
        <v>63.207133</v>
      </c>
    </row>
    <row r="20">
      <c r="A20" s="9">
        <f t="shared" si="2"/>
        <v>10</v>
      </c>
      <c r="B20" s="9">
        <v>0.815367526944444</v>
      </c>
      <c r="C20" s="9" t="s">
        <v>26</v>
      </c>
      <c r="D20" s="9">
        <v>2935.323097</v>
      </c>
      <c r="E20" s="9">
        <v>351.670816218412</v>
      </c>
      <c r="F20" s="9">
        <f t="shared" si="1"/>
        <v>175.323097</v>
      </c>
      <c r="I20" s="9">
        <f t="shared" si="3"/>
        <v>10</v>
      </c>
      <c r="J20" s="9">
        <v>0.766666666666666</v>
      </c>
      <c r="K20" s="9" t="s">
        <v>26</v>
      </c>
      <c r="L20" s="9">
        <v>2760.0</v>
      </c>
      <c r="N20" s="9">
        <f t="shared" si="4"/>
        <v>10</v>
      </c>
      <c r="O20" s="9">
        <f t="shared" si="5"/>
        <v>0</v>
      </c>
      <c r="R20" s="9">
        <f t="shared" si="8"/>
        <v>9</v>
      </c>
      <c r="S20" s="9">
        <f t="shared" si="9"/>
        <v>16023.20713</v>
      </c>
      <c r="T20" s="9">
        <f>L65</f>
        <v>16260</v>
      </c>
      <c r="U20" s="9">
        <f t="shared" si="6"/>
        <v>236.792867</v>
      </c>
      <c r="V20" s="9">
        <v>0.0</v>
      </c>
      <c r="W20" s="9">
        <f t="shared" si="7"/>
        <v>0</v>
      </c>
    </row>
    <row r="21">
      <c r="A21" s="9">
        <f t="shared" si="2"/>
        <v>11</v>
      </c>
      <c r="B21" s="9">
        <v>0.953341509722222</v>
      </c>
      <c r="C21" s="9" t="s">
        <v>27</v>
      </c>
      <c r="D21" s="9">
        <v>3432.029435</v>
      </c>
      <c r="E21" s="9">
        <v>274.317528048592</v>
      </c>
      <c r="F21" s="9">
        <f t="shared" si="1"/>
        <v>372.029435</v>
      </c>
      <c r="I21" s="9">
        <f t="shared" si="3"/>
        <v>11</v>
      </c>
      <c r="J21" s="9">
        <v>0.85</v>
      </c>
      <c r="K21" s="9" t="s">
        <v>27</v>
      </c>
      <c r="L21" s="9">
        <v>3060.0</v>
      </c>
      <c r="N21" s="9">
        <f t="shared" si="4"/>
        <v>11</v>
      </c>
      <c r="O21" s="9">
        <f t="shared" si="5"/>
        <v>0</v>
      </c>
      <c r="R21" s="9">
        <f t="shared" si="8"/>
        <v>10</v>
      </c>
      <c r="S21" s="9">
        <f t="shared" si="9"/>
        <v>16260</v>
      </c>
      <c r="T21" s="9">
        <f>D64</f>
        <v>16371.54739</v>
      </c>
      <c r="U21" s="9">
        <f t="shared" si="6"/>
        <v>111.547385</v>
      </c>
      <c r="V21" s="9">
        <v>1.0</v>
      </c>
      <c r="W21" s="9">
        <f t="shared" si="7"/>
        <v>111.547385</v>
      </c>
    </row>
    <row r="22">
      <c r="A22" s="9">
        <f t="shared" si="2"/>
        <v>12</v>
      </c>
      <c r="B22" s="9">
        <v>0.9805381325</v>
      </c>
      <c r="C22" s="9" t="s">
        <v>28</v>
      </c>
      <c r="D22" s="9">
        <v>3529.937277</v>
      </c>
      <c r="E22" s="9">
        <v>271.610731600036</v>
      </c>
      <c r="F22" s="9">
        <f t="shared" si="1"/>
        <v>97.907842</v>
      </c>
      <c r="I22" s="9">
        <f t="shared" si="3"/>
        <v>12</v>
      </c>
      <c r="J22" s="9">
        <v>0.933333333333333</v>
      </c>
      <c r="K22" s="9" t="s">
        <v>28</v>
      </c>
      <c r="L22" s="9">
        <v>3360.0</v>
      </c>
      <c r="N22" s="9">
        <f t="shared" si="4"/>
        <v>12</v>
      </c>
      <c r="O22" s="9">
        <f t="shared" si="5"/>
        <v>72.029435</v>
      </c>
      <c r="Q22" s="12"/>
      <c r="R22" s="9">
        <f t="shared" si="8"/>
        <v>11</v>
      </c>
      <c r="S22" s="9">
        <f t="shared" si="9"/>
        <v>16371.54739</v>
      </c>
      <c r="T22" s="9">
        <f>L74</f>
        <v>18960</v>
      </c>
      <c r="U22" s="9">
        <f t="shared" si="6"/>
        <v>2588.452615</v>
      </c>
      <c r="V22" s="9">
        <v>0.0</v>
      </c>
      <c r="W22" s="9">
        <f t="shared" si="7"/>
        <v>0</v>
      </c>
    </row>
    <row r="23">
      <c r="A23" s="9">
        <f t="shared" si="2"/>
        <v>13</v>
      </c>
      <c r="B23" s="9">
        <v>1.07128827222222</v>
      </c>
      <c r="C23" s="9" t="s">
        <v>29</v>
      </c>
      <c r="D23" s="9">
        <v>3856.63778</v>
      </c>
      <c r="E23" s="9">
        <v>316.405943327668</v>
      </c>
      <c r="F23" s="9">
        <f t="shared" si="1"/>
        <v>196.63778</v>
      </c>
      <c r="I23" s="9">
        <f t="shared" si="3"/>
        <v>13</v>
      </c>
      <c r="J23" s="9">
        <v>1.01666666666666</v>
      </c>
      <c r="K23" s="9" t="s">
        <v>29</v>
      </c>
      <c r="L23" s="9">
        <v>3660.0</v>
      </c>
      <c r="N23" s="9">
        <f t="shared" si="4"/>
        <v>13</v>
      </c>
      <c r="O23" s="9">
        <f t="shared" si="5"/>
        <v>0</v>
      </c>
      <c r="R23" s="9">
        <f t="shared" si="8"/>
        <v>12</v>
      </c>
      <c r="S23" s="9">
        <f t="shared" si="9"/>
        <v>18960</v>
      </c>
      <c r="T23" s="9">
        <f>D73</f>
        <v>18980.44236</v>
      </c>
      <c r="U23" s="9">
        <f t="shared" si="6"/>
        <v>20.442362</v>
      </c>
      <c r="V23" s="9">
        <v>1.0</v>
      </c>
      <c r="W23" s="9">
        <f t="shared" si="7"/>
        <v>20.442362</v>
      </c>
    </row>
    <row r="24">
      <c r="A24" s="9">
        <f t="shared" si="2"/>
        <v>14</v>
      </c>
      <c r="B24" s="9">
        <v>1.16264589666666</v>
      </c>
      <c r="C24" s="9" t="s">
        <v>30</v>
      </c>
      <c r="D24" s="9">
        <v>4185.52522799999</v>
      </c>
      <c r="E24" s="9">
        <v>278.939123401438</v>
      </c>
      <c r="F24" s="9">
        <f t="shared" si="1"/>
        <v>225.525228</v>
      </c>
      <c r="I24" s="9">
        <f t="shared" si="3"/>
        <v>14</v>
      </c>
      <c r="J24" s="9">
        <v>1.1</v>
      </c>
      <c r="K24" s="9" t="s">
        <v>30</v>
      </c>
      <c r="L24" s="9">
        <v>3960.0</v>
      </c>
      <c r="N24" s="9">
        <f t="shared" si="4"/>
        <v>14</v>
      </c>
      <c r="O24" s="9">
        <f t="shared" si="5"/>
        <v>0</v>
      </c>
      <c r="R24" s="9">
        <f t="shared" si="8"/>
        <v>13</v>
      </c>
      <c r="S24" s="9">
        <f t="shared" si="9"/>
        <v>18980.44236</v>
      </c>
      <c r="T24" s="9">
        <f>L77</f>
        <v>19860</v>
      </c>
      <c r="U24" s="9">
        <f t="shared" si="6"/>
        <v>879.557638</v>
      </c>
      <c r="V24" s="9">
        <v>0.0</v>
      </c>
      <c r="W24" s="9">
        <f t="shared" si="7"/>
        <v>0</v>
      </c>
    </row>
    <row r="25">
      <c r="A25" s="9">
        <f t="shared" si="2"/>
        <v>15</v>
      </c>
      <c r="B25" s="9">
        <v>1.24945400305555</v>
      </c>
      <c r="C25" s="9" t="s">
        <v>31</v>
      </c>
      <c r="D25" s="9">
        <v>4498.034411</v>
      </c>
      <c r="E25" s="9">
        <v>164.50338162539</v>
      </c>
      <c r="F25" s="9">
        <f t="shared" si="1"/>
        <v>238.034411</v>
      </c>
      <c r="I25" s="9">
        <f t="shared" si="3"/>
        <v>15</v>
      </c>
      <c r="J25" s="9">
        <v>1.18333333333333</v>
      </c>
      <c r="K25" s="9" t="s">
        <v>31</v>
      </c>
      <c r="L25" s="9">
        <v>4260.0</v>
      </c>
      <c r="N25" s="9">
        <f t="shared" si="4"/>
        <v>15</v>
      </c>
      <c r="O25" s="9">
        <f t="shared" si="5"/>
        <v>0</v>
      </c>
      <c r="R25" s="9">
        <f t="shared" si="8"/>
        <v>14</v>
      </c>
      <c r="S25" s="9">
        <f t="shared" si="9"/>
        <v>19860</v>
      </c>
      <c r="T25" s="9">
        <f>D76</f>
        <v>19906.78549</v>
      </c>
      <c r="U25" s="9">
        <f t="shared" si="6"/>
        <v>46.785486</v>
      </c>
      <c r="V25" s="9">
        <v>1.0</v>
      </c>
      <c r="W25" s="9">
        <f t="shared" si="7"/>
        <v>46.785486</v>
      </c>
    </row>
    <row r="26">
      <c r="A26" s="9">
        <f t="shared" si="2"/>
        <v>16</v>
      </c>
      <c r="B26" s="9">
        <v>1.31349029777777</v>
      </c>
      <c r="C26" s="9" t="s">
        <v>32</v>
      </c>
      <c r="D26" s="9">
        <v>4728.56507199999</v>
      </c>
      <c r="E26" s="9">
        <v>285.028809151374</v>
      </c>
      <c r="F26" s="9">
        <f t="shared" si="1"/>
        <v>168.565072</v>
      </c>
      <c r="I26" s="9">
        <f t="shared" si="3"/>
        <v>16</v>
      </c>
      <c r="J26" s="9">
        <v>1.26666666666666</v>
      </c>
      <c r="K26" s="9" t="s">
        <v>32</v>
      </c>
      <c r="L26" s="9">
        <v>4560.0</v>
      </c>
      <c r="N26" s="9">
        <f t="shared" si="4"/>
        <v>16</v>
      </c>
      <c r="O26" s="9">
        <f t="shared" si="5"/>
        <v>0</v>
      </c>
      <c r="R26" s="9">
        <f t="shared" si="8"/>
        <v>15</v>
      </c>
      <c r="S26" s="9">
        <f t="shared" si="9"/>
        <v>19906.78549</v>
      </c>
      <c r="T26" s="9">
        <f>L87</f>
        <v>22860</v>
      </c>
      <c r="U26" s="9">
        <f t="shared" si="6"/>
        <v>2953.214514</v>
      </c>
      <c r="V26" s="9">
        <v>0.0</v>
      </c>
      <c r="W26" s="9">
        <f t="shared" si="7"/>
        <v>0</v>
      </c>
    </row>
    <row r="27">
      <c r="A27" s="9">
        <f t="shared" si="2"/>
        <v>17</v>
      </c>
      <c r="B27" s="9">
        <v>1.40885945194444</v>
      </c>
      <c r="C27" s="9" t="s">
        <v>33</v>
      </c>
      <c r="D27" s="9">
        <v>5071.89402699999</v>
      </c>
      <c r="E27" s="9">
        <v>243.745320416231</v>
      </c>
      <c r="F27" s="9">
        <f t="shared" si="1"/>
        <v>211.894027</v>
      </c>
      <c r="I27" s="9">
        <f t="shared" si="3"/>
        <v>17</v>
      </c>
      <c r="J27" s="9">
        <v>1.35</v>
      </c>
      <c r="K27" s="9" t="s">
        <v>33</v>
      </c>
      <c r="L27" s="9">
        <v>4860.0</v>
      </c>
      <c r="N27" s="9">
        <f t="shared" si="4"/>
        <v>17</v>
      </c>
      <c r="O27" s="9">
        <f t="shared" si="5"/>
        <v>0</v>
      </c>
      <c r="R27" s="9">
        <f t="shared" si="8"/>
        <v>16</v>
      </c>
      <c r="S27" s="9">
        <f t="shared" si="9"/>
        <v>22860</v>
      </c>
      <c r="T27" s="9">
        <f>D86</f>
        <v>22860.03581</v>
      </c>
      <c r="U27" s="9">
        <f t="shared" si="6"/>
        <v>0.0358089999</v>
      </c>
      <c r="V27" s="9">
        <v>1.0</v>
      </c>
      <c r="W27" s="9">
        <f t="shared" si="7"/>
        <v>0.0358089999</v>
      </c>
    </row>
    <row r="28">
      <c r="A28" s="9">
        <f t="shared" si="2"/>
        <v>18</v>
      </c>
      <c r="B28" s="9">
        <v>1.52372119416666</v>
      </c>
      <c r="C28" s="9" t="s">
        <v>34</v>
      </c>
      <c r="D28" s="9">
        <v>5485.396299</v>
      </c>
      <c r="E28" s="9">
        <v>339.059466573259</v>
      </c>
      <c r="F28" s="9">
        <f t="shared" si="1"/>
        <v>325.396299</v>
      </c>
      <c r="I28" s="9">
        <f t="shared" si="3"/>
        <v>18</v>
      </c>
      <c r="J28" s="9">
        <v>1.43333333333333</v>
      </c>
      <c r="K28" s="9" t="s">
        <v>34</v>
      </c>
      <c r="L28" s="9">
        <v>5160.0</v>
      </c>
      <c r="N28" s="9">
        <f t="shared" si="4"/>
        <v>18</v>
      </c>
      <c r="O28" s="9">
        <f t="shared" si="5"/>
        <v>0</v>
      </c>
      <c r="R28" s="9">
        <f t="shared" si="8"/>
        <v>17</v>
      </c>
      <c r="S28" s="9">
        <f t="shared" si="9"/>
        <v>22860.03581</v>
      </c>
      <c r="T28" s="9">
        <f>L95</f>
        <v>25260</v>
      </c>
      <c r="U28" s="9">
        <f t="shared" si="6"/>
        <v>2399.964191</v>
      </c>
      <c r="V28" s="9">
        <v>0.0</v>
      </c>
      <c r="W28" s="9">
        <f t="shared" si="7"/>
        <v>0</v>
      </c>
    </row>
    <row r="29">
      <c r="A29" s="9">
        <f t="shared" si="2"/>
        <v>19</v>
      </c>
      <c r="B29" s="9">
        <v>1.59021029</v>
      </c>
      <c r="C29" s="9" t="s">
        <v>35</v>
      </c>
      <c r="D29" s="9">
        <v>5724.757044</v>
      </c>
      <c r="E29" s="9">
        <v>341.208926693477</v>
      </c>
      <c r="F29" s="9">
        <f t="shared" si="1"/>
        <v>239.360745</v>
      </c>
      <c r="I29" s="9">
        <f t="shared" si="3"/>
        <v>19</v>
      </c>
      <c r="J29" s="9">
        <v>1.51666666666666</v>
      </c>
      <c r="K29" s="9" t="s">
        <v>35</v>
      </c>
      <c r="L29" s="9">
        <v>5460.0</v>
      </c>
      <c r="N29" s="9">
        <f t="shared" si="4"/>
        <v>19</v>
      </c>
      <c r="O29" s="9">
        <f t="shared" si="5"/>
        <v>25.396299</v>
      </c>
      <c r="Q29" s="12"/>
      <c r="R29" s="9">
        <f t="shared" si="8"/>
        <v>18</v>
      </c>
      <c r="S29" s="9">
        <f t="shared" si="9"/>
        <v>25260</v>
      </c>
      <c r="T29" s="9">
        <f>D94</f>
        <v>25314.62629</v>
      </c>
      <c r="U29" s="9">
        <f t="shared" si="6"/>
        <v>54.626286</v>
      </c>
      <c r="V29" s="9">
        <v>1.0</v>
      </c>
      <c r="W29" s="9">
        <f t="shared" si="7"/>
        <v>54.626286</v>
      </c>
    </row>
    <row r="30">
      <c r="A30" s="9">
        <f t="shared" si="2"/>
        <v>20</v>
      </c>
      <c r="B30" s="9">
        <v>1.6670893675</v>
      </c>
      <c r="C30" s="9" t="s">
        <v>36</v>
      </c>
      <c r="D30" s="9">
        <v>6001.521723</v>
      </c>
      <c r="E30" s="9">
        <v>250.94480595072</v>
      </c>
      <c r="F30" s="9">
        <f t="shared" si="1"/>
        <v>241.521723</v>
      </c>
      <c r="I30" s="9">
        <f t="shared" si="3"/>
        <v>20</v>
      </c>
      <c r="J30" s="9">
        <v>1.6</v>
      </c>
      <c r="K30" s="9" t="s">
        <v>36</v>
      </c>
      <c r="L30" s="9">
        <v>5760.0</v>
      </c>
      <c r="N30" s="9">
        <f t="shared" si="4"/>
        <v>20</v>
      </c>
      <c r="O30" s="9">
        <f t="shared" si="5"/>
        <v>0</v>
      </c>
      <c r="R30" s="9">
        <f t="shared" si="8"/>
        <v>19</v>
      </c>
      <c r="S30" s="9">
        <f t="shared" si="9"/>
        <v>25314.62629</v>
      </c>
      <c r="T30" s="9">
        <f>L96</f>
        <v>25560</v>
      </c>
      <c r="U30" s="9">
        <f t="shared" si="6"/>
        <v>245.373714</v>
      </c>
      <c r="V30" s="9">
        <v>0.0</v>
      </c>
      <c r="W30" s="9">
        <f t="shared" si="7"/>
        <v>0</v>
      </c>
    </row>
    <row r="31">
      <c r="A31" s="9">
        <f t="shared" si="2"/>
        <v>21</v>
      </c>
      <c r="B31" s="9">
        <v>1.72246965388888</v>
      </c>
      <c r="C31" s="9" t="s">
        <v>37</v>
      </c>
      <c r="D31" s="9">
        <v>6200.890754</v>
      </c>
      <c r="E31" s="9">
        <v>222.064062396278</v>
      </c>
      <c r="F31" s="9">
        <f t="shared" si="1"/>
        <v>140.890754</v>
      </c>
      <c r="I31" s="9">
        <f t="shared" si="3"/>
        <v>21</v>
      </c>
      <c r="J31" s="9">
        <v>1.68333333333333</v>
      </c>
      <c r="K31" s="9" t="s">
        <v>37</v>
      </c>
      <c r="L31" s="9">
        <v>6060.0</v>
      </c>
      <c r="N31" s="9">
        <f t="shared" si="4"/>
        <v>21</v>
      </c>
      <c r="O31" s="9">
        <f t="shared" si="5"/>
        <v>0</v>
      </c>
      <c r="Q31" s="12"/>
      <c r="R31" s="9">
        <f t="shared" si="8"/>
        <v>20</v>
      </c>
      <c r="S31" s="9">
        <f t="shared" si="9"/>
        <v>25560</v>
      </c>
      <c r="T31" s="9">
        <f>D95</f>
        <v>25627.12286</v>
      </c>
      <c r="U31" s="9">
        <f t="shared" si="6"/>
        <v>67.122861</v>
      </c>
      <c r="V31" s="9">
        <v>1.0</v>
      </c>
      <c r="W31" s="9">
        <f t="shared" si="7"/>
        <v>67.122861</v>
      </c>
    </row>
    <row r="32">
      <c r="A32" s="9">
        <f t="shared" si="2"/>
        <v>22</v>
      </c>
      <c r="B32" s="9">
        <v>1.81734384833333</v>
      </c>
      <c r="C32" s="9" t="s">
        <v>38</v>
      </c>
      <c r="D32" s="9">
        <v>6542.437854</v>
      </c>
      <c r="E32" s="9">
        <v>345.527235739129</v>
      </c>
      <c r="F32" s="9">
        <f t="shared" si="1"/>
        <v>182.437854</v>
      </c>
      <c r="I32" s="9">
        <f t="shared" si="3"/>
        <v>22</v>
      </c>
      <c r="J32" s="9">
        <v>1.76666666666666</v>
      </c>
      <c r="K32" s="9" t="s">
        <v>38</v>
      </c>
      <c r="L32" s="9">
        <v>6360.0</v>
      </c>
      <c r="N32" s="9">
        <f t="shared" si="4"/>
        <v>22</v>
      </c>
      <c r="O32" s="9">
        <f t="shared" si="5"/>
        <v>0</v>
      </c>
      <c r="R32" s="9">
        <f t="shared" si="8"/>
        <v>21</v>
      </c>
      <c r="S32" s="9">
        <f t="shared" si="9"/>
        <v>25627.12286</v>
      </c>
      <c r="T32" s="9">
        <f>L97</f>
        <v>25860</v>
      </c>
      <c r="U32" s="9">
        <f t="shared" si="6"/>
        <v>232.877139</v>
      </c>
      <c r="V32" s="9">
        <v>0.0</v>
      </c>
      <c r="W32" s="9">
        <f t="shared" si="7"/>
        <v>0</v>
      </c>
    </row>
    <row r="33">
      <c r="A33" s="9">
        <f t="shared" si="2"/>
        <v>23</v>
      </c>
      <c r="B33" s="9">
        <v>1.88634572305555</v>
      </c>
      <c r="C33" s="9" t="s">
        <v>39</v>
      </c>
      <c r="D33" s="9">
        <v>6790.844603</v>
      </c>
      <c r="E33" s="9">
        <v>146.532342871355</v>
      </c>
      <c r="F33" s="9">
        <f t="shared" si="1"/>
        <v>130.844603</v>
      </c>
      <c r="I33" s="9">
        <f t="shared" si="3"/>
        <v>23</v>
      </c>
      <c r="J33" s="9">
        <v>1.85</v>
      </c>
      <c r="K33" s="9" t="s">
        <v>39</v>
      </c>
      <c r="L33" s="9">
        <v>6660.0</v>
      </c>
      <c r="N33" s="9">
        <f t="shared" si="4"/>
        <v>23</v>
      </c>
      <c r="O33" s="9">
        <f t="shared" si="5"/>
        <v>0</v>
      </c>
      <c r="R33" s="9">
        <f t="shared" si="8"/>
        <v>22</v>
      </c>
      <c r="S33" s="9">
        <f t="shared" si="9"/>
        <v>25860</v>
      </c>
      <c r="T33" s="9">
        <f>D96</f>
        <v>25881.61927</v>
      </c>
      <c r="U33" s="9">
        <f t="shared" si="6"/>
        <v>21.619271</v>
      </c>
      <c r="V33" s="9">
        <v>1.0</v>
      </c>
      <c r="W33" s="9">
        <f t="shared" si="7"/>
        <v>21.619271</v>
      </c>
    </row>
    <row r="34">
      <c r="A34" s="9">
        <f t="shared" si="2"/>
        <v>24</v>
      </c>
      <c r="B34" s="9">
        <v>1.99845366388888</v>
      </c>
      <c r="C34" s="9" t="s">
        <v>40</v>
      </c>
      <c r="D34" s="9">
        <v>7194.43319</v>
      </c>
      <c r="E34" s="9">
        <v>211.907950343399</v>
      </c>
      <c r="F34" s="9">
        <f t="shared" si="1"/>
        <v>234.43319</v>
      </c>
      <c r="I34" s="9">
        <f t="shared" si="3"/>
        <v>24</v>
      </c>
      <c r="J34" s="9">
        <v>1.93333333333333</v>
      </c>
      <c r="K34" s="9" t="s">
        <v>40</v>
      </c>
      <c r="L34" s="9">
        <v>6960.0</v>
      </c>
      <c r="N34" s="9">
        <f t="shared" si="4"/>
        <v>24</v>
      </c>
      <c r="O34" s="9">
        <f t="shared" si="5"/>
        <v>0</v>
      </c>
      <c r="R34" s="9">
        <f t="shared" si="8"/>
        <v>23</v>
      </c>
      <c r="S34" s="9">
        <f t="shared" si="9"/>
        <v>25881.61927</v>
      </c>
      <c r="T34" s="9">
        <f>L103</f>
        <v>27660</v>
      </c>
      <c r="U34" s="9">
        <f t="shared" si="6"/>
        <v>1778.380729</v>
      </c>
      <c r="V34" s="9">
        <v>0.0</v>
      </c>
      <c r="W34" s="9">
        <f t="shared" si="7"/>
        <v>0</v>
      </c>
    </row>
    <row r="35">
      <c r="A35" s="9">
        <f t="shared" si="2"/>
        <v>25</v>
      </c>
      <c r="B35" s="9">
        <v>2.08629912916666</v>
      </c>
      <c r="C35" s="9" t="s">
        <v>41</v>
      </c>
      <c r="D35" s="9">
        <v>7510.67686499999</v>
      </c>
      <c r="E35" s="9">
        <v>254.644057272588</v>
      </c>
      <c r="F35" s="9">
        <f t="shared" si="1"/>
        <v>250.676865</v>
      </c>
      <c r="I35" s="9">
        <f t="shared" si="3"/>
        <v>25</v>
      </c>
      <c r="J35" s="9">
        <v>2.01666666666666</v>
      </c>
      <c r="K35" s="9" t="s">
        <v>41</v>
      </c>
      <c r="L35" s="9">
        <v>7260.0</v>
      </c>
      <c r="N35" s="9">
        <f t="shared" si="4"/>
        <v>25</v>
      </c>
      <c r="O35" s="9">
        <f t="shared" si="5"/>
        <v>0</v>
      </c>
      <c r="R35" s="9">
        <f t="shared" si="8"/>
        <v>24</v>
      </c>
      <c r="S35" s="9">
        <f t="shared" si="9"/>
        <v>27660</v>
      </c>
      <c r="T35" s="9">
        <f>D102</f>
        <v>27738.1543</v>
      </c>
      <c r="U35" s="9">
        <f t="shared" si="6"/>
        <v>78.154304</v>
      </c>
      <c r="V35" s="9">
        <v>1.0</v>
      </c>
      <c r="W35" s="9">
        <f t="shared" si="7"/>
        <v>78.154304</v>
      </c>
    </row>
    <row r="36">
      <c r="A36" s="9">
        <f t="shared" si="2"/>
        <v>26</v>
      </c>
      <c r="B36" s="9">
        <v>2.15949175194444</v>
      </c>
      <c r="C36" s="9" t="s">
        <v>42</v>
      </c>
      <c r="D36" s="9">
        <v>7774.17030699999</v>
      </c>
      <c r="E36" s="9">
        <v>316.558628442792</v>
      </c>
      <c r="F36" s="9">
        <f t="shared" si="1"/>
        <v>214.170307</v>
      </c>
      <c r="I36" s="9">
        <f t="shared" si="3"/>
        <v>26</v>
      </c>
      <c r="J36" s="9">
        <v>2.1</v>
      </c>
      <c r="K36" s="9" t="s">
        <v>42</v>
      </c>
      <c r="L36" s="9">
        <v>7560.0</v>
      </c>
      <c r="N36" s="9">
        <f t="shared" si="4"/>
        <v>26</v>
      </c>
      <c r="O36" s="9">
        <f t="shared" si="5"/>
        <v>0</v>
      </c>
      <c r="R36" s="9">
        <f t="shared" si="8"/>
        <v>25</v>
      </c>
      <c r="S36" s="9">
        <f t="shared" si="9"/>
        <v>27738.1543</v>
      </c>
      <c r="T36" s="9">
        <f>L104</f>
        <v>27960</v>
      </c>
      <c r="U36" s="9">
        <f t="shared" si="6"/>
        <v>221.845696</v>
      </c>
      <c r="V36" s="9">
        <v>0.0</v>
      </c>
      <c r="W36" s="9">
        <f t="shared" si="7"/>
        <v>0</v>
      </c>
    </row>
    <row r="37">
      <c r="A37" s="9">
        <f t="shared" si="2"/>
        <v>27</v>
      </c>
      <c r="B37" s="9">
        <v>2.26055256333333</v>
      </c>
      <c r="C37" s="9" t="s">
        <v>43</v>
      </c>
      <c r="D37" s="9">
        <v>8137.98922799999</v>
      </c>
      <c r="E37" s="9">
        <v>194.745663380271</v>
      </c>
      <c r="F37" s="9">
        <f t="shared" si="1"/>
        <v>277.989228</v>
      </c>
      <c r="I37" s="9">
        <f t="shared" si="3"/>
        <v>27</v>
      </c>
      <c r="J37" s="9">
        <v>2.18333333333333</v>
      </c>
      <c r="K37" s="9" t="s">
        <v>43</v>
      </c>
      <c r="L37" s="9">
        <v>7859.99999999999</v>
      </c>
      <c r="N37" s="9">
        <f t="shared" si="4"/>
        <v>27</v>
      </c>
      <c r="O37" s="9">
        <f t="shared" si="5"/>
        <v>0</v>
      </c>
      <c r="R37" s="9">
        <f t="shared" si="8"/>
        <v>26</v>
      </c>
      <c r="S37" s="9">
        <f t="shared" si="9"/>
        <v>27960</v>
      </c>
      <c r="T37" s="9">
        <f>D103</f>
        <v>28020.22475</v>
      </c>
      <c r="U37" s="9">
        <f t="shared" si="6"/>
        <v>60.224748</v>
      </c>
      <c r="V37" s="9">
        <v>1.0</v>
      </c>
      <c r="W37" s="9">
        <f t="shared" si="7"/>
        <v>60.224748</v>
      </c>
    </row>
    <row r="38">
      <c r="A38" s="9">
        <f t="shared" si="2"/>
        <v>28</v>
      </c>
      <c r="B38" s="9">
        <v>2.33721084444444</v>
      </c>
      <c r="C38" s="9" t="s">
        <v>44</v>
      </c>
      <c r="D38" s="9">
        <v>8413.95904</v>
      </c>
      <c r="E38" s="9">
        <v>239.647569682406</v>
      </c>
      <c r="F38" s="9">
        <f t="shared" si="1"/>
        <v>253.95904</v>
      </c>
      <c r="I38" s="9">
        <f t="shared" si="3"/>
        <v>28</v>
      </c>
      <c r="J38" s="9">
        <v>2.26666666666666</v>
      </c>
      <c r="K38" s="9" t="s">
        <v>44</v>
      </c>
      <c r="L38" s="9">
        <v>8160.0</v>
      </c>
      <c r="N38" s="9">
        <f t="shared" si="4"/>
        <v>28</v>
      </c>
      <c r="O38" s="9">
        <f t="shared" si="5"/>
        <v>0</v>
      </c>
      <c r="R38" s="9">
        <f t="shared" si="8"/>
        <v>27</v>
      </c>
      <c r="S38" s="9">
        <f t="shared" si="9"/>
        <v>28020.22475</v>
      </c>
      <c r="T38" s="9">
        <f>L105</f>
        <v>28260</v>
      </c>
      <c r="U38" s="9">
        <f t="shared" si="6"/>
        <v>239.775252</v>
      </c>
      <c r="V38" s="9">
        <v>0.0</v>
      </c>
      <c r="W38" s="9">
        <f t="shared" si="7"/>
        <v>0</v>
      </c>
    </row>
    <row r="39">
      <c r="A39" s="9">
        <f t="shared" si="2"/>
        <v>29</v>
      </c>
      <c r="B39" s="9">
        <v>2.42539500638888</v>
      </c>
      <c r="C39" s="9" t="s">
        <v>45</v>
      </c>
      <c r="D39" s="9">
        <v>8731.422023</v>
      </c>
      <c r="E39" s="9">
        <v>238.344584533958</v>
      </c>
      <c r="F39" s="9">
        <f t="shared" si="1"/>
        <v>271.422023</v>
      </c>
      <c r="I39" s="9">
        <f t="shared" si="3"/>
        <v>29</v>
      </c>
      <c r="J39" s="9">
        <v>2.35</v>
      </c>
      <c r="K39" s="9" t="s">
        <v>45</v>
      </c>
      <c r="L39" s="9">
        <v>8460.0</v>
      </c>
      <c r="N39" s="9">
        <f t="shared" si="4"/>
        <v>29</v>
      </c>
      <c r="O39" s="9">
        <f t="shared" si="5"/>
        <v>0</v>
      </c>
      <c r="R39" s="9">
        <f t="shared" si="8"/>
        <v>28</v>
      </c>
      <c r="S39" s="9">
        <f t="shared" si="9"/>
        <v>28260</v>
      </c>
      <c r="T39" s="9">
        <f>D104</f>
        <v>28307.43701</v>
      </c>
      <c r="U39" s="9">
        <f t="shared" si="6"/>
        <v>47.437011</v>
      </c>
      <c r="V39" s="9">
        <v>1.0</v>
      </c>
      <c r="W39" s="9">
        <f t="shared" si="7"/>
        <v>47.437011</v>
      </c>
    </row>
    <row r="40">
      <c r="A40" s="9">
        <f t="shared" si="2"/>
        <v>30</v>
      </c>
      <c r="B40" s="9">
        <v>2.51253795888888</v>
      </c>
      <c r="C40" s="9" t="s">
        <v>46</v>
      </c>
      <c r="D40" s="9">
        <v>9045.136652</v>
      </c>
      <c r="E40" s="9">
        <v>423.315587558912</v>
      </c>
      <c r="F40" s="9">
        <f t="shared" si="1"/>
        <v>285.136652</v>
      </c>
      <c r="I40" s="9">
        <f t="shared" si="3"/>
        <v>30</v>
      </c>
      <c r="J40" s="9">
        <v>2.43333333333333</v>
      </c>
      <c r="K40" s="9" t="s">
        <v>46</v>
      </c>
      <c r="L40" s="9">
        <v>8760.0</v>
      </c>
      <c r="N40" s="9">
        <f t="shared" si="4"/>
        <v>30</v>
      </c>
      <c r="O40" s="9">
        <f t="shared" si="5"/>
        <v>0</v>
      </c>
      <c r="R40" s="9">
        <f t="shared" si="8"/>
        <v>29</v>
      </c>
      <c r="S40" s="9">
        <f t="shared" si="9"/>
        <v>28307.43701</v>
      </c>
      <c r="T40" s="9">
        <f>L116</f>
        <v>31560</v>
      </c>
      <c r="U40" s="9">
        <f t="shared" si="6"/>
        <v>3252.562989</v>
      </c>
      <c r="V40" s="9">
        <v>0.0</v>
      </c>
      <c r="W40" s="9">
        <f t="shared" si="7"/>
        <v>0</v>
      </c>
    </row>
    <row r="41">
      <c r="A41" s="9">
        <f t="shared" si="2"/>
        <v>31</v>
      </c>
      <c r="B41" s="9">
        <v>2.56877420888888</v>
      </c>
      <c r="C41" s="9" t="s">
        <v>47</v>
      </c>
      <c r="D41" s="9">
        <v>9247.587152</v>
      </c>
      <c r="E41" s="9">
        <v>269.716086941235</v>
      </c>
      <c r="F41" s="9">
        <f t="shared" si="1"/>
        <v>187.587152</v>
      </c>
      <c r="I41" s="9">
        <f t="shared" si="3"/>
        <v>31</v>
      </c>
      <c r="J41" s="9">
        <v>2.51666666666666</v>
      </c>
      <c r="K41" s="9" t="s">
        <v>47</v>
      </c>
      <c r="L41" s="9">
        <v>9060.0</v>
      </c>
      <c r="N41" s="9">
        <f t="shared" si="4"/>
        <v>31</v>
      </c>
      <c r="O41" s="9">
        <f t="shared" si="5"/>
        <v>0</v>
      </c>
      <c r="R41" s="9">
        <f t="shared" si="8"/>
        <v>30</v>
      </c>
      <c r="S41" s="9">
        <f t="shared" si="9"/>
        <v>31560</v>
      </c>
      <c r="T41" s="9">
        <f>D115</f>
        <v>31618.78147</v>
      </c>
      <c r="U41" s="9">
        <f t="shared" si="6"/>
        <v>58.781474</v>
      </c>
      <c r="V41" s="9">
        <v>1.0</v>
      </c>
      <c r="W41" s="9">
        <f t="shared" si="7"/>
        <v>58.781474</v>
      </c>
    </row>
    <row r="42">
      <c r="A42" s="9">
        <f t="shared" si="2"/>
        <v>32</v>
      </c>
      <c r="B42" s="9">
        <v>2.64941631</v>
      </c>
      <c r="C42" s="9" t="s">
        <v>48</v>
      </c>
      <c r="D42" s="9">
        <v>9537.898716</v>
      </c>
      <c r="E42" s="9">
        <v>267.080319408831</v>
      </c>
      <c r="F42" s="9">
        <f t="shared" si="1"/>
        <v>177.898716</v>
      </c>
      <c r="I42" s="9">
        <f t="shared" si="3"/>
        <v>32</v>
      </c>
      <c r="J42" s="9">
        <v>2.6</v>
      </c>
      <c r="K42" s="9" t="s">
        <v>48</v>
      </c>
      <c r="L42" s="9">
        <v>9360.0</v>
      </c>
      <c r="N42" s="9">
        <f t="shared" si="4"/>
        <v>32</v>
      </c>
      <c r="O42" s="9">
        <f t="shared" si="5"/>
        <v>0</v>
      </c>
      <c r="R42" s="9">
        <f t="shared" si="8"/>
        <v>31</v>
      </c>
      <c r="S42" s="9">
        <f t="shared" si="9"/>
        <v>31618.78147</v>
      </c>
      <c r="T42" s="9">
        <f>L119</f>
        <v>32460</v>
      </c>
      <c r="U42" s="9">
        <f t="shared" si="6"/>
        <v>841.218526</v>
      </c>
      <c r="V42" s="9">
        <v>0.0</v>
      </c>
      <c r="W42" s="9">
        <f t="shared" si="7"/>
        <v>0</v>
      </c>
    </row>
    <row r="43">
      <c r="A43" s="9">
        <f t="shared" si="2"/>
        <v>33</v>
      </c>
      <c r="B43" s="9">
        <v>2.74361270611111</v>
      </c>
      <c r="C43" s="9" t="s">
        <v>49</v>
      </c>
      <c r="D43" s="9">
        <v>9877.005742</v>
      </c>
      <c r="E43" s="9">
        <v>180.000568346036</v>
      </c>
      <c r="F43" s="9">
        <f t="shared" si="1"/>
        <v>217.005742</v>
      </c>
      <c r="I43" s="9">
        <f t="shared" si="3"/>
        <v>33</v>
      </c>
      <c r="J43" s="9">
        <v>2.68333333333333</v>
      </c>
      <c r="K43" s="9" t="s">
        <v>49</v>
      </c>
      <c r="L43" s="9">
        <v>9660.0</v>
      </c>
      <c r="N43" s="9">
        <f t="shared" si="4"/>
        <v>33</v>
      </c>
      <c r="O43" s="9">
        <f t="shared" si="5"/>
        <v>0</v>
      </c>
      <c r="R43" s="9">
        <f t="shared" si="8"/>
        <v>32</v>
      </c>
      <c r="S43" s="9">
        <f t="shared" si="9"/>
        <v>32460</v>
      </c>
      <c r="T43" s="9">
        <f>D118</f>
        <v>32507.13247</v>
      </c>
      <c r="U43" s="9">
        <f t="shared" si="6"/>
        <v>47.132467</v>
      </c>
      <c r="V43" s="9">
        <v>1.0</v>
      </c>
      <c r="W43" s="9">
        <f t="shared" si="7"/>
        <v>47.132467</v>
      </c>
    </row>
    <row r="44">
      <c r="A44" s="9">
        <f t="shared" si="2"/>
        <v>34</v>
      </c>
      <c r="B44" s="9">
        <v>2.83461835166666</v>
      </c>
      <c r="C44" s="9" t="s">
        <v>50</v>
      </c>
      <c r="D44" s="9">
        <v>10204.6260659999</v>
      </c>
      <c r="E44" s="9">
        <v>255.075789697151</v>
      </c>
      <c r="F44" s="9">
        <f t="shared" si="1"/>
        <v>244.626066</v>
      </c>
      <c r="I44" s="9">
        <f t="shared" si="3"/>
        <v>34</v>
      </c>
      <c r="J44" s="9">
        <v>2.76666666666666</v>
      </c>
      <c r="K44" s="9" t="s">
        <v>50</v>
      </c>
      <c r="L44" s="9">
        <v>9960.0</v>
      </c>
      <c r="N44" s="9">
        <f t="shared" si="4"/>
        <v>34</v>
      </c>
      <c r="O44" s="9">
        <f t="shared" si="5"/>
        <v>0</v>
      </c>
      <c r="R44" s="9">
        <f t="shared" si="8"/>
        <v>33</v>
      </c>
      <c r="S44" s="9">
        <f t="shared" si="9"/>
        <v>32507.13247</v>
      </c>
      <c r="T44" s="9">
        <f>L121</f>
        <v>33060</v>
      </c>
      <c r="U44" s="9">
        <f t="shared" si="6"/>
        <v>552.867533</v>
      </c>
      <c r="V44" s="9">
        <v>0.0</v>
      </c>
      <c r="W44" s="9">
        <f t="shared" si="7"/>
        <v>0</v>
      </c>
    </row>
    <row r="45">
      <c r="A45" s="9">
        <f t="shared" si="2"/>
        <v>35</v>
      </c>
      <c r="B45" s="9">
        <v>2.89088394222222</v>
      </c>
      <c r="C45" s="9" t="s">
        <v>51</v>
      </c>
      <c r="D45" s="9">
        <v>10407.182192</v>
      </c>
      <c r="E45" s="9">
        <v>275.131881234192</v>
      </c>
      <c r="F45" s="9">
        <f t="shared" si="1"/>
        <v>147.182192</v>
      </c>
      <c r="I45" s="9">
        <f t="shared" si="3"/>
        <v>35</v>
      </c>
      <c r="J45" s="9">
        <v>2.85</v>
      </c>
      <c r="K45" s="9" t="s">
        <v>51</v>
      </c>
      <c r="L45" s="9">
        <v>10260.0</v>
      </c>
      <c r="N45" s="9">
        <f t="shared" si="4"/>
        <v>35</v>
      </c>
      <c r="O45" s="9">
        <f t="shared" si="5"/>
        <v>0</v>
      </c>
      <c r="R45" s="9">
        <f t="shared" si="8"/>
        <v>34</v>
      </c>
      <c r="S45" s="9">
        <f t="shared" si="9"/>
        <v>33060</v>
      </c>
      <c r="T45" s="9">
        <f>D120</f>
        <v>33086.55346</v>
      </c>
      <c r="U45" s="9">
        <f t="shared" si="6"/>
        <v>26.553456</v>
      </c>
      <c r="V45" s="9">
        <v>1.0</v>
      </c>
      <c r="W45" s="9">
        <f t="shared" si="7"/>
        <v>26.553456</v>
      </c>
    </row>
    <row r="46">
      <c r="A46" s="9">
        <f t="shared" si="2"/>
        <v>36</v>
      </c>
      <c r="B46" s="9">
        <v>3.02967737305555</v>
      </c>
      <c r="C46" s="9" t="s">
        <v>52</v>
      </c>
      <c r="D46" s="9">
        <v>10906.838543</v>
      </c>
      <c r="E46" s="9">
        <v>302.117567368884</v>
      </c>
      <c r="F46" s="9">
        <f t="shared" si="1"/>
        <v>346.838543</v>
      </c>
      <c r="I46" s="9">
        <f t="shared" si="3"/>
        <v>36</v>
      </c>
      <c r="J46" s="9">
        <v>2.93333333333333</v>
      </c>
      <c r="K46" s="9" t="s">
        <v>52</v>
      </c>
      <c r="L46" s="9">
        <v>10560.0</v>
      </c>
      <c r="N46" s="9">
        <f t="shared" si="4"/>
        <v>36</v>
      </c>
      <c r="O46" s="9">
        <f t="shared" si="5"/>
        <v>0</v>
      </c>
      <c r="R46" s="9">
        <f t="shared" si="8"/>
        <v>35</v>
      </c>
      <c r="S46" s="9">
        <f t="shared" si="9"/>
        <v>33086.55346</v>
      </c>
      <c r="T46" s="9">
        <f>L123</f>
        <v>33660</v>
      </c>
      <c r="U46" s="9">
        <f t="shared" si="6"/>
        <v>573.446544</v>
      </c>
      <c r="V46" s="9">
        <v>0.0</v>
      </c>
      <c r="W46" s="9">
        <f t="shared" si="7"/>
        <v>0</v>
      </c>
    </row>
    <row r="47">
      <c r="A47" s="9">
        <f t="shared" si="2"/>
        <v>37</v>
      </c>
      <c r="B47" s="9">
        <v>3.08329823138888</v>
      </c>
      <c r="C47" s="9" t="s">
        <v>53</v>
      </c>
      <c r="D47" s="9">
        <v>11099.873633</v>
      </c>
      <c r="E47" s="9">
        <v>270.403554646742</v>
      </c>
      <c r="F47" s="9">
        <f t="shared" si="1"/>
        <v>193.03509</v>
      </c>
      <c r="I47" s="9">
        <f t="shared" si="3"/>
        <v>37</v>
      </c>
      <c r="J47" s="9">
        <v>3.01666666666666</v>
      </c>
      <c r="K47" s="9" t="s">
        <v>53</v>
      </c>
      <c r="L47" s="9">
        <v>10860.0</v>
      </c>
      <c r="N47" s="9">
        <f t="shared" si="4"/>
        <v>37</v>
      </c>
      <c r="O47" s="9">
        <f t="shared" si="5"/>
        <v>46.838543</v>
      </c>
      <c r="Q47" s="12"/>
      <c r="R47" s="9">
        <f t="shared" si="8"/>
        <v>36</v>
      </c>
      <c r="S47" s="9">
        <f t="shared" si="9"/>
        <v>33660</v>
      </c>
      <c r="T47" s="9">
        <f>D122</f>
        <v>33699.21814</v>
      </c>
      <c r="U47" s="9">
        <f t="shared" si="6"/>
        <v>39.21814</v>
      </c>
      <c r="V47" s="9">
        <v>1.0</v>
      </c>
      <c r="W47" s="9">
        <f t="shared" si="7"/>
        <v>39.21814</v>
      </c>
    </row>
    <row r="48">
      <c r="A48" s="9">
        <f t="shared" si="2"/>
        <v>38</v>
      </c>
      <c r="B48" s="9">
        <v>3.16185355472222</v>
      </c>
      <c r="C48" s="9" t="s">
        <v>54</v>
      </c>
      <c r="D48" s="9">
        <v>11382.672797</v>
      </c>
      <c r="E48" s="9">
        <v>211.775802336717</v>
      </c>
      <c r="F48" s="9">
        <f t="shared" si="1"/>
        <v>222.672797</v>
      </c>
      <c r="I48" s="9">
        <f t="shared" si="3"/>
        <v>38</v>
      </c>
      <c r="J48" s="9">
        <v>3.1</v>
      </c>
      <c r="K48" s="9" t="s">
        <v>54</v>
      </c>
      <c r="L48" s="9">
        <v>11160.0</v>
      </c>
      <c r="N48" s="9">
        <f t="shared" si="4"/>
        <v>38</v>
      </c>
      <c r="O48" s="9">
        <f t="shared" si="5"/>
        <v>0</v>
      </c>
      <c r="R48" s="9">
        <f t="shared" si="8"/>
        <v>37</v>
      </c>
      <c r="S48" s="9">
        <f t="shared" si="9"/>
        <v>33699.21814</v>
      </c>
      <c r="T48" s="9">
        <f>L124</f>
        <v>33960</v>
      </c>
      <c r="U48" s="9">
        <f t="shared" si="6"/>
        <v>260.78186</v>
      </c>
      <c r="V48" s="9">
        <v>0.0</v>
      </c>
      <c r="W48" s="9">
        <f t="shared" si="7"/>
        <v>0</v>
      </c>
    </row>
    <row r="49">
      <c r="A49" s="9">
        <f t="shared" si="2"/>
        <v>39</v>
      </c>
      <c r="B49" s="9">
        <v>3.21369671611111</v>
      </c>
      <c r="C49" s="9" t="s">
        <v>55</v>
      </c>
      <c r="D49" s="9">
        <v>11569.308178</v>
      </c>
      <c r="E49" s="9">
        <v>183.303927963404</v>
      </c>
      <c r="F49" s="9">
        <f t="shared" si="1"/>
        <v>109.308178</v>
      </c>
      <c r="I49" s="9">
        <f t="shared" si="3"/>
        <v>39</v>
      </c>
      <c r="J49" s="9">
        <v>3.18333333333333</v>
      </c>
      <c r="K49" s="9" t="s">
        <v>55</v>
      </c>
      <c r="L49" s="9">
        <v>11460.0</v>
      </c>
      <c r="N49" s="9">
        <f t="shared" si="4"/>
        <v>39</v>
      </c>
      <c r="O49" s="9">
        <f t="shared" si="5"/>
        <v>0</v>
      </c>
      <c r="R49" s="9">
        <f t="shared" si="8"/>
        <v>38</v>
      </c>
      <c r="S49" s="9">
        <f t="shared" si="9"/>
        <v>33960</v>
      </c>
      <c r="T49" s="9">
        <f>D123</f>
        <v>33998.53925</v>
      </c>
      <c r="U49" s="9">
        <f t="shared" si="6"/>
        <v>38.539252</v>
      </c>
      <c r="V49" s="9">
        <v>1.0</v>
      </c>
      <c r="W49" s="9">
        <f t="shared" si="7"/>
        <v>38.539252</v>
      </c>
    </row>
    <row r="50">
      <c r="A50" s="9">
        <f t="shared" si="2"/>
        <v>40</v>
      </c>
      <c r="B50" s="9">
        <v>3.29760217805555</v>
      </c>
      <c r="C50" s="9" t="s">
        <v>56</v>
      </c>
      <c r="D50" s="9">
        <v>11871.367841</v>
      </c>
      <c r="E50" s="9">
        <v>191.988570246406</v>
      </c>
      <c r="F50" s="9">
        <f t="shared" si="1"/>
        <v>111.367841</v>
      </c>
      <c r="I50" s="9">
        <f t="shared" si="3"/>
        <v>40</v>
      </c>
      <c r="J50" s="9">
        <v>3.26666666666666</v>
      </c>
      <c r="K50" s="9" t="s">
        <v>56</v>
      </c>
      <c r="L50" s="9">
        <v>11760.0</v>
      </c>
      <c r="N50" s="9">
        <f t="shared" si="4"/>
        <v>40</v>
      </c>
      <c r="O50" s="9">
        <f t="shared" si="5"/>
        <v>0</v>
      </c>
      <c r="R50" s="9">
        <f t="shared" si="8"/>
        <v>39</v>
      </c>
      <c r="S50" s="9">
        <f t="shared" si="9"/>
        <v>33998.53925</v>
      </c>
      <c r="T50" s="9">
        <f>L128</f>
        <v>35160</v>
      </c>
      <c r="U50" s="9">
        <f t="shared" si="6"/>
        <v>1161.460748</v>
      </c>
      <c r="V50" s="9">
        <v>0.0</v>
      </c>
      <c r="W50" s="9">
        <f t="shared" si="7"/>
        <v>0</v>
      </c>
    </row>
    <row r="51">
      <c r="A51" s="9">
        <f t="shared" si="2"/>
        <v>41</v>
      </c>
      <c r="B51" s="9">
        <v>3.41468597333333</v>
      </c>
      <c r="C51" s="9" t="s">
        <v>57</v>
      </c>
      <c r="D51" s="9">
        <v>12292.869504</v>
      </c>
      <c r="E51" s="9">
        <v>313.164192797808</v>
      </c>
      <c r="F51" s="9">
        <f t="shared" si="1"/>
        <v>232.869504</v>
      </c>
      <c r="I51" s="9">
        <f t="shared" si="3"/>
        <v>41</v>
      </c>
      <c r="J51" s="9">
        <v>3.35</v>
      </c>
      <c r="K51" s="9" t="s">
        <v>57</v>
      </c>
      <c r="L51" s="9">
        <v>12060.0</v>
      </c>
      <c r="N51" s="9">
        <f t="shared" si="4"/>
        <v>41</v>
      </c>
      <c r="O51" s="9">
        <f t="shared" si="5"/>
        <v>0</v>
      </c>
      <c r="R51" s="9">
        <f t="shared" si="8"/>
        <v>40</v>
      </c>
      <c r="S51" s="9">
        <f t="shared" si="9"/>
        <v>35160</v>
      </c>
      <c r="T51" s="9">
        <f>D127</f>
        <v>35195.28888</v>
      </c>
      <c r="U51" s="9">
        <f t="shared" si="6"/>
        <v>35.288881</v>
      </c>
      <c r="V51" s="9">
        <v>1.0</v>
      </c>
      <c r="W51" s="9">
        <f t="shared" si="7"/>
        <v>35.288881</v>
      </c>
    </row>
    <row r="52">
      <c r="A52" s="9">
        <f t="shared" si="2"/>
        <v>42</v>
      </c>
      <c r="B52" s="9">
        <v>3.48745513916666</v>
      </c>
      <c r="C52" s="9" t="s">
        <v>58</v>
      </c>
      <c r="D52" s="9">
        <v>12554.838501</v>
      </c>
      <c r="E52" s="9">
        <v>199.731683422325</v>
      </c>
      <c r="F52" s="9">
        <f t="shared" si="1"/>
        <v>194.838501</v>
      </c>
      <c r="I52" s="9">
        <f t="shared" si="3"/>
        <v>42</v>
      </c>
      <c r="J52" s="9">
        <v>3.43333333333333</v>
      </c>
      <c r="K52" s="9" t="s">
        <v>58</v>
      </c>
      <c r="L52" s="9">
        <v>12360.0</v>
      </c>
      <c r="N52" s="9">
        <f t="shared" si="4"/>
        <v>42</v>
      </c>
      <c r="O52" s="9">
        <f t="shared" si="5"/>
        <v>0</v>
      </c>
      <c r="R52" s="9">
        <f t="shared" si="8"/>
        <v>41</v>
      </c>
      <c r="S52" s="9">
        <f t="shared" si="9"/>
        <v>35195.28888</v>
      </c>
      <c r="T52" s="9">
        <f>L138</f>
        <v>38160</v>
      </c>
      <c r="U52" s="9">
        <f t="shared" si="6"/>
        <v>2964.711119</v>
      </c>
      <c r="V52" s="9">
        <v>0.0</v>
      </c>
      <c r="W52" s="9">
        <f t="shared" si="7"/>
        <v>0</v>
      </c>
    </row>
    <row r="53">
      <c r="A53" s="9">
        <f t="shared" si="2"/>
        <v>43</v>
      </c>
      <c r="B53" s="9">
        <v>3.55889152027777</v>
      </c>
      <c r="C53" s="9" t="s">
        <v>59</v>
      </c>
      <c r="D53" s="9">
        <v>12812.009473</v>
      </c>
      <c r="E53" s="9">
        <v>181.429480246275</v>
      </c>
      <c r="F53" s="9">
        <f t="shared" si="1"/>
        <v>152.009473</v>
      </c>
      <c r="I53" s="9">
        <f t="shared" si="3"/>
        <v>43</v>
      </c>
      <c r="J53" s="9">
        <v>3.51666666666666</v>
      </c>
      <c r="K53" s="9" t="s">
        <v>59</v>
      </c>
      <c r="L53" s="9">
        <v>12660.0</v>
      </c>
      <c r="N53" s="9">
        <f t="shared" si="4"/>
        <v>43</v>
      </c>
      <c r="O53" s="9">
        <f t="shared" si="5"/>
        <v>0</v>
      </c>
      <c r="R53" s="9">
        <f t="shared" si="8"/>
        <v>42</v>
      </c>
      <c r="S53" s="9">
        <f t="shared" si="9"/>
        <v>38160</v>
      </c>
      <c r="T53" s="9">
        <f>D137</f>
        <v>38174.1797</v>
      </c>
      <c r="U53" s="9">
        <f t="shared" si="6"/>
        <v>14.179695</v>
      </c>
      <c r="V53" s="9">
        <v>1.0</v>
      </c>
      <c r="W53" s="9">
        <f t="shared" si="7"/>
        <v>14.179695</v>
      </c>
    </row>
    <row r="54">
      <c r="A54" s="9">
        <f t="shared" si="2"/>
        <v>44</v>
      </c>
      <c r="B54" s="9">
        <v>3.66226646944444</v>
      </c>
      <c r="C54" s="9" t="s">
        <v>60</v>
      </c>
      <c r="D54" s="9">
        <v>13184.15929</v>
      </c>
      <c r="E54" s="9">
        <v>155.193466347734</v>
      </c>
      <c r="F54" s="9">
        <f t="shared" si="1"/>
        <v>224.15929</v>
      </c>
      <c r="I54" s="9">
        <f t="shared" si="3"/>
        <v>44</v>
      </c>
      <c r="J54" s="9">
        <v>3.6</v>
      </c>
      <c r="K54" s="9" t="s">
        <v>60</v>
      </c>
      <c r="L54" s="9">
        <v>12960.0</v>
      </c>
      <c r="N54" s="9">
        <f t="shared" si="4"/>
        <v>44</v>
      </c>
      <c r="O54" s="9">
        <f t="shared" si="5"/>
        <v>0</v>
      </c>
      <c r="R54" s="9">
        <f t="shared" si="8"/>
        <v>43</v>
      </c>
      <c r="S54" s="9">
        <f t="shared" si="9"/>
        <v>38174.1797</v>
      </c>
      <c r="T54" s="9">
        <f>L147</f>
        <v>40860</v>
      </c>
      <c r="U54" s="9">
        <f t="shared" si="6"/>
        <v>2685.820305</v>
      </c>
      <c r="V54" s="9">
        <v>0.0</v>
      </c>
      <c r="W54" s="9">
        <f t="shared" si="7"/>
        <v>0</v>
      </c>
    </row>
    <row r="55">
      <c r="A55" s="9">
        <f t="shared" si="2"/>
        <v>45</v>
      </c>
      <c r="B55" s="9">
        <v>3.71731548083333</v>
      </c>
      <c r="C55" s="9" t="s">
        <v>61</v>
      </c>
      <c r="D55" s="9">
        <v>13382.335731</v>
      </c>
      <c r="E55" s="9">
        <v>163.4724201049</v>
      </c>
      <c r="F55" s="9">
        <f t="shared" si="1"/>
        <v>122.335731</v>
      </c>
      <c r="I55" s="9">
        <f t="shared" si="3"/>
        <v>45</v>
      </c>
      <c r="J55" s="9">
        <v>3.68333333333333</v>
      </c>
      <c r="K55" s="9" t="s">
        <v>61</v>
      </c>
      <c r="L55" s="9">
        <v>13260.0</v>
      </c>
      <c r="N55" s="9">
        <f t="shared" si="4"/>
        <v>45</v>
      </c>
      <c r="O55" s="9">
        <f t="shared" si="5"/>
        <v>0</v>
      </c>
      <c r="R55" s="9">
        <f t="shared" si="8"/>
        <v>44</v>
      </c>
      <c r="S55" s="9">
        <f t="shared" si="9"/>
        <v>40860</v>
      </c>
      <c r="T55" s="9">
        <f>D146</f>
        <v>40960.53886</v>
      </c>
      <c r="U55" s="9">
        <f t="shared" si="6"/>
        <v>100.538859</v>
      </c>
      <c r="V55" s="9">
        <v>1.0</v>
      </c>
      <c r="W55" s="9">
        <f t="shared" si="7"/>
        <v>100.538859</v>
      </c>
    </row>
    <row r="56">
      <c r="A56" s="9">
        <f t="shared" si="2"/>
        <v>46</v>
      </c>
      <c r="B56" s="9">
        <v>3.84234326444444</v>
      </c>
      <c r="C56" s="9" t="s">
        <v>62</v>
      </c>
      <c r="D56" s="9">
        <v>13832.435752</v>
      </c>
      <c r="E56" s="9">
        <v>245.164914972341</v>
      </c>
      <c r="F56" s="9">
        <f t="shared" si="1"/>
        <v>272.435752</v>
      </c>
      <c r="I56" s="9">
        <f t="shared" si="3"/>
        <v>46</v>
      </c>
      <c r="J56" s="9">
        <v>3.76666666666666</v>
      </c>
      <c r="K56" s="9" t="s">
        <v>62</v>
      </c>
      <c r="L56" s="9">
        <v>13560.0</v>
      </c>
      <c r="N56" s="9">
        <f t="shared" si="4"/>
        <v>46</v>
      </c>
      <c r="O56" s="9">
        <f t="shared" si="5"/>
        <v>0</v>
      </c>
      <c r="R56" s="9">
        <f t="shared" si="8"/>
        <v>45</v>
      </c>
      <c r="S56" s="9">
        <f t="shared" si="9"/>
        <v>40960.53886</v>
      </c>
      <c r="T56" s="9">
        <f>L148</f>
        <v>41160</v>
      </c>
      <c r="U56" s="9">
        <f t="shared" si="6"/>
        <v>199.461141</v>
      </c>
      <c r="V56" s="9">
        <v>0.0</v>
      </c>
      <c r="W56" s="9">
        <f t="shared" si="7"/>
        <v>0</v>
      </c>
    </row>
    <row r="57">
      <c r="A57" s="9">
        <f t="shared" si="2"/>
        <v>47</v>
      </c>
      <c r="B57" s="9">
        <v>3.90639970972222</v>
      </c>
      <c r="C57" s="9" t="s">
        <v>63</v>
      </c>
      <c r="D57" s="9">
        <v>14063.038955</v>
      </c>
      <c r="E57" s="9">
        <v>182.417329435619</v>
      </c>
      <c r="F57" s="9">
        <f t="shared" si="1"/>
        <v>203.038955</v>
      </c>
      <c r="I57" s="9">
        <f t="shared" si="3"/>
        <v>47</v>
      </c>
      <c r="J57" s="9">
        <v>3.85</v>
      </c>
      <c r="K57" s="9" t="s">
        <v>63</v>
      </c>
      <c r="L57" s="9">
        <v>13860.0</v>
      </c>
      <c r="N57" s="9">
        <f t="shared" si="4"/>
        <v>47</v>
      </c>
      <c r="O57" s="9">
        <f t="shared" si="5"/>
        <v>0</v>
      </c>
      <c r="R57" s="9">
        <f t="shared" si="8"/>
        <v>46</v>
      </c>
      <c r="S57" s="9">
        <f t="shared" si="9"/>
        <v>41160</v>
      </c>
      <c r="T57" s="9">
        <f>D147</f>
        <v>41204.82456</v>
      </c>
      <c r="U57" s="9">
        <f t="shared" si="6"/>
        <v>44.824555</v>
      </c>
      <c r="V57" s="9">
        <v>1.0</v>
      </c>
      <c r="W57" s="9">
        <f t="shared" si="7"/>
        <v>44.824555</v>
      </c>
    </row>
    <row r="58">
      <c r="A58" s="9">
        <f t="shared" si="2"/>
        <v>48</v>
      </c>
      <c r="B58" s="9">
        <v>4.01290139194444</v>
      </c>
      <c r="C58" s="9" t="s">
        <v>64</v>
      </c>
      <c r="D58" s="9">
        <v>14446.445011</v>
      </c>
      <c r="E58" s="9">
        <v>210.783805674896</v>
      </c>
      <c r="F58" s="9">
        <f t="shared" si="1"/>
        <v>286.445011</v>
      </c>
      <c r="I58" s="9">
        <f t="shared" si="3"/>
        <v>48</v>
      </c>
      <c r="J58" s="9">
        <v>3.93333333333333</v>
      </c>
      <c r="K58" s="9" t="s">
        <v>64</v>
      </c>
      <c r="L58" s="9">
        <v>14160.0</v>
      </c>
      <c r="N58" s="9">
        <f t="shared" si="4"/>
        <v>48</v>
      </c>
      <c r="O58" s="9">
        <f t="shared" si="5"/>
        <v>0</v>
      </c>
      <c r="R58" s="9">
        <f t="shared" si="8"/>
        <v>47</v>
      </c>
      <c r="S58" s="9">
        <f t="shared" si="9"/>
        <v>41204.82456</v>
      </c>
      <c r="T58" s="9">
        <f>L153</f>
        <v>42660</v>
      </c>
      <c r="U58" s="9">
        <f t="shared" si="6"/>
        <v>1455.175445</v>
      </c>
      <c r="V58" s="9">
        <v>0.0</v>
      </c>
      <c r="W58" s="9">
        <f t="shared" si="7"/>
        <v>0</v>
      </c>
    </row>
    <row r="59">
      <c r="A59" s="9">
        <f t="shared" si="2"/>
        <v>49</v>
      </c>
      <c r="B59" s="9">
        <v>4.055680755</v>
      </c>
      <c r="C59" s="9" t="s">
        <v>65</v>
      </c>
      <c r="D59" s="9">
        <v>14600.450718</v>
      </c>
      <c r="E59" s="9">
        <v>320.342086227931</v>
      </c>
      <c r="F59" s="9">
        <f t="shared" si="1"/>
        <v>140.450718</v>
      </c>
      <c r="I59" s="9">
        <f t="shared" si="3"/>
        <v>49</v>
      </c>
      <c r="J59" s="9">
        <v>4.01666666666666</v>
      </c>
      <c r="K59" s="9" t="s">
        <v>65</v>
      </c>
      <c r="L59" s="9">
        <v>14460.0</v>
      </c>
      <c r="N59" s="9">
        <f t="shared" si="4"/>
        <v>49</v>
      </c>
      <c r="O59" s="9">
        <f t="shared" si="5"/>
        <v>0</v>
      </c>
      <c r="R59" s="9">
        <f t="shared" si="8"/>
        <v>48</v>
      </c>
      <c r="S59" s="9">
        <f t="shared" si="9"/>
        <v>42660</v>
      </c>
      <c r="T59" s="9">
        <f>D152</f>
        <v>42679.54505</v>
      </c>
      <c r="U59" s="9">
        <f t="shared" si="6"/>
        <v>19.545054</v>
      </c>
      <c r="V59" s="9">
        <v>1.0</v>
      </c>
      <c r="W59" s="9">
        <f t="shared" si="7"/>
        <v>19.545054</v>
      </c>
    </row>
    <row r="60">
      <c r="A60" s="9">
        <f t="shared" si="2"/>
        <v>50</v>
      </c>
      <c r="B60" s="9">
        <v>4.16780861749999</v>
      </c>
      <c r="C60" s="9" t="s">
        <v>66</v>
      </c>
      <c r="D60" s="9">
        <v>15004.1110229999</v>
      </c>
      <c r="E60" s="9">
        <v>268.871667652865</v>
      </c>
      <c r="F60" s="9">
        <f t="shared" si="1"/>
        <v>244.111023</v>
      </c>
      <c r="I60" s="9">
        <f t="shared" si="3"/>
        <v>50</v>
      </c>
      <c r="J60" s="9">
        <v>4.1</v>
      </c>
      <c r="K60" s="9" t="s">
        <v>66</v>
      </c>
      <c r="L60" s="9">
        <v>14759.9999999999</v>
      </c>
      <c r="N60" s="9">
        <f t="shared" si="4"/>
        <v>50</v>
      </c>
      <c r="O60" s="9">
        <f t="shared" si="5"/>
        <v>0</v>
      </c>
      <c r="R60" s="13">
        <f t="shared" si="8"/>
        <v>49</v>
      </c>
      <c r="S60" s="13">
        <f t="shared" si="9"/>
        <v>42679.54505</v>
      </c>
      <c r="T60" s="13">
        <v>43200.0</v>
      </c>
      <c r="U60" s="13">
        <f t="shared" si="6"/>
        <v>520.454946</v>
      </c>
      <c r="V60" s="13">
        <v>0.0</v>
      </c>
      <c r="W60" s="13">
        <f t="shared" si="7"/>
        <v>0</v>
      </c>
    </row>
    <row r="61">
      <c r="A61" s="9">
        <f t="shared" si="2"/>
        <v>51</v>
      </c>
      <c r="B61" s="9">
        <v>4.22757859555555</v>
      </c>
      <c r="C61" s="9" t="s">
        <v>67</v>
      </c>
      <c r="D61" s="9">
        <v>15219.2829439999</v>
      </c>
      <c r="E61" s="9">
        <v>191.945698770186</v>
      </c>
      <c r="F61" s="9">
        <f t="shared" si="1"/>
        <v>159.282944</v>
      </c>
      <c r="I61" s="9">
        <f t="shared" si="3"/>
        <v>51</v>
      </c>
      <c r="J61" s="9">
        <v>4.18333333333333</v>
      </c>
      <c r="K61" s="9" t="s">
        <v>67</v>
      </c>
      <c r="L61" s="9">
        <v>15060.0</v>
      </c>
      <c r="N61" s="9">
        <f t="shared" si="4"/>
        <v>51</v>
      </c>
      <c r="O61" s="9">
        <f t="shared" si="5"/>
        <v>0</v>
      </c>
      <c r="R61" s="14"/>
      <c r="S61" s="14"/>
      <c r="T61" s="14"/>
      <c r="U61" s="14"/>
      <c r="V61" s="14"/>
      <c r="W61" s="14"/>
    </row>
    <row r="62">
      <c r="A62" s="9">
        <f t="shared" si="2"/>
        <v>52</v>
      </c>
      <c r="B62" s="9">
        <v>4.31381285777777</v>
      </c>
      <c r="C62" s="9" t="s">
        <v>68</v>
      </c>
      <c r="D62" s="9">
        <v>15529.726288</v>
      </c>
      <c r="E62" s="9">
        <v>237.224234346807</v>
      </c>
      <c r="F62" s="9">
        <f t="shared" si="1"/>
        <v>169.726288</v>
      </c>
      <c r="I62" s="9">
        <f t="shared" si="3"/>
        <v>52</v>
      </c>
      <c r="J62" s="9">
        <v>4.26666666666666</v>
      </c>
      <c r="K62" s="9" t="s">
        <v>68</v>
      </c>
      <c r="L62" s="9">
        <v>15360.0</v>
      </c>
      <c r="N62" s="9">
        <f t="shared" si="4"/>
        <v>52</v>
      </c>
      <c r="O62" s="9">
        <f t="shared" si="5"/>
        <v>0</v>
      </c>
      <c r="V62" s="12"/>
    </row>
    <row r="63">
      <c r="A63" s="9">
        <f t="shared" si="2"/>
        <v>53</v>
      </c>
      <c r="B63" s="9">
        <v>4.45089087027777</v>
      </c>
      <c r="C63" s="9" t="s">
        <v>69</v>
      </c>
      <c r="D63" s="9">
        <v>16023.207133</v>
      </c>
      <c r="E63" s="9">
        <v>344.730812817257</v>
      </c>
      <c r="F63" s="9">
        <f t="shared" si="1"/>
        <v>363.207133</v>
      </c>
      <c r="I63" s="9">
        <f t="shared" si="3"/>
        <v>53</v>
      </c>
      <c r="J63" s="9">
        <v>4.35</v>
      </c>
      <c r="K63" s="9" t="s">
        <v>69</v>
      </c>
      <c r="L63" s="9">
        <v>15659.9999999999</v>
      </c>
      <c r="N63" s="9">
        <f t="shared" si="4"/>
        <v>53</v>
      </c>
      <c r="O63" s="9">
        <f t="shared" si="5"/>
        <v>0</v>
      </c>
      <c r="V63" s="12"/>
    </row>
    <row r="64">
      <c r="A64" s="9">
        <f t="shared" si="2"/>
        <v>54</v>
      </c>
      <c r="B64" s="9">
        <v>4.54765205138888</v>
      </c>
      <c r="C64" s="9" t="s">
        <v>70</v>
      </c>
      <c r="D64" s="9">
        <v>16371.547385</v>
      </c>
      <c r="E64" s="9">
        <v>285.662368887025</v>
      </c>
      <c r="F64" s="9">
        <f t="shared" si="1"/>
        <v>348.340252</v>
      </c>
      <c r="I64" s="9">
        <f t="shared" si="3"/>
        <v>54</v>
      </c>
      <c r="J64" s="9">
        <v>4.43333333333333</v>
      </c>
      <c r="K64" s="9" t="s">
        <v>70</v>
      </c>
      <c r="L64" s="9">
        <v>15960.0</v>
      </c>
      <c r="N64" s="9">
        <f t="shared" si="4"/>
        <v>54</v>
      </c>
      <c r="O64" s="9">
        <f t="shared" si="5"/>
        <v>63.207133</v>
      </c>
      <c r="Q64" s="12"/>
      <c r="R64" s="15" t="s">
        <v>71</v>
      </c>
      <c r="S64" s="2"/>
      <c r="T64" s="2"/>
      <c r="U64" s="2"/>
      <c r="V64" s="3"/>
      <c r="W64" s="16">
        <f>sum(W12:W60)</f>
        <v>1140.068766</v>
      </c>
    </row>
    <row r="65">
      <c r="A65" s="9">
        <f t="shared" si="2"/>
        <v>55</v>
      </c>
      <c r="B65" s="9">
        <v>4.58198982583333</v>
      </c>
      <c r="C65" s="9" t="s">
        <v>72</v>
      </c>
      <c r="D65" s="9">
        <v>16495.163373</v>
      </c>
      <c r="E65" s="9">
        <v>217.474954362692</v>
      </c>
      <c r="F65" s="9">
        <f t="shared" si="1"/>
        <v>123.615988</v>
      </c>
      <c r="I65" s="9">
        <f t="shared" si="3"/>
        <v>55</v>
      </c>
      <c r="J65" s="9">
        <v>4.51666666666666</v>
      </c>
      <c r="K65" s="9" t="s">
        <v>72</v>
      </c>
      <c r="L65" s="9">
        <v>16260.0</v>
      </c>
      <c r="N65" s="9">
        <f t="shared" si="4"/>
        <v>55</v>
      </c>
      <c r="O65" s="9">
        <f t="shared" si="5"/>
        <v>111.547385</v>
      </c>
      <c r="Q65" s="12"/>
      <c r="R65" s="17" t="s">
        <v>73</v>
      </c>
      <c r="S65" s="18"/>
      <c r="T65" s="18"/>
      <c r="U65" s="18"/>
      <c r="V65" s="19"/>
      <c r="W65" s="20">
        <f>W64/43200</f>
        <v>0.02639048069</v>
      </c>
    </row>
    <row r="66">
      <c r="A66" s="9">
        <f t="shared" si="2"/>
        <v>56</v>
      </c>
      <c r="B66" s="9">
        <v>4.66075145888888</v>
      </c>
      <c r="C66" s="9" t="s">
        <v>74</v>
      </c>
      <c r="D66" s="9">
        <v>16778.705252</v>
      </c>
      <c r="E66" s="9">
        <v>271.897156474236</v>
      </c>
      <c r="F66" s="9">
        <f t="shared" si="1"/>
        <v>218.705252</v>
      </c>
      <c r="I66" s="9">
        <f t="shared" si="3"/>
        <v>56</v>
      </c>
      <c r="J66" s="9">
        <v>4.6</v>
      </c>
      <c r="K66" s="9" t="s">
        <v>74</v>
      </c>
      <c r="L66" s="9">
        <v>16560.0</v>
      </c>
      <c r="N66" s="9">
        <f t="shared" si="4"/>
        <v>56</v>
      </c>
      <c r="O66" s="9">
        <f t="shared" si="5"/>
        <v>0</v>
      </c>
      <c r="R66" s="21"/>
      <c r="S66" s="22"/>
      <c r="T66" s="22"/>
      <c r="U66" s="22"/>
      <c r="V66" s="23"/>
      <c r="W66" s="10"/>
    </row>
    <row r="67">
      <c r="A67" s="9">
        <f t="shared" si="2"/>
        <v>57</v>
      </c>
      <c r="B67" s="9">
        <v>4.75566587777777</v>
      </c>
      <c r="C67" s="9" t="s">
        <v>75</v>
      </c>
      <c r="D67" s="9">
        <v>17120.39716</v>
      </c>
      <c r="E67" s="9">
        <v>316.713528008765</v>
      </c>
      <c r="F67" s="9">
        <f t="shared" si="1"/>
        <v>260.39716</v>
      </c>
      <c r="I67" s="9">
        <f t="shared" si="3"/>
        <v>57</v>
      </c>
      <c r="J67" s="9">
        <v>4.68333333333333</v>
      </c>
      <c r="K67" s="9" t="s">
        <v>75</v>
      </c>
      <c r="L67" s="9">
        <v>16860.0</v>
      </c>
      <c r="N67" s="9">
        <f t="shared" si="4"/>
        <v>57</v>
      </c>
      <c r="O67" s="9">
        <f t="shared" si="5"/>
        <v>0</v>
      </c>
    </row>
    <row r="68">
      <c r="A68" s="9">
        <f t="shared" si="2"/>
        <v>58</v>
      </c>
      <c r="B68" s="9">
        <v>4.84592747083333</v>
      </c>
      <c r="C68" s="9" t="s">
        <v>76</v>
      </c>
      <c r="D68" s="9">
        <v>17445.338895</v>
      </c>
      <c r="E68" s="9">
        <v>149.699002604572</v>
      </c>
      <c r="F68" s="9">
        <f t="shared" si="1"/>
        <v>285.338895</v>
      </c>
      <c r="I68" s="9">
        <f t="shared" si="3"/>
        <v>58</v>
      </c>
      <c r="J68" s="9">
        <v>4.76666666666666</v>
      </c>
      <c r="K68" s="9" t="s">
        <v>76</v>
      </c>
      <c r="L68" s="9">
        <v>17160.0</v>
      </c>
      <c r="N68" s="9">
        <f t="shared" si="4"/>
        <v>58</v>
      </c>
      <c r="O68" s="9">
        <f t="shared" si="5"/>
        <v>0</v>
      </c>
    </row>
    <row r="69">
      <c r="A69" s="9">
        <f t="shared" si="2"/>
        <v>59</v>
      </c>
      <c r="B69" s="9">
        <v>4.91902168055555</v>
      </c>
      <c r="C69" s="9" t="s">
        <v>77</v>
      </c>
      <c r="D69" s="9">
        <v>17708.4780499999</v>
      </c>
      <c r="E69" s="9">
        <v>299.886051126511</v>
      </c>
      <c r="F69" s="9">
        <f t="shared" si="1"/>
        <v>248.47805</v>
      </c>
      <c r="I69" s="9">
        <f t="shared" si="3"/>
        <v>59</v>
      </c>
      <c r="J69" s="9">
        <v>4.85</v>
      </c>
      <c r="K69" s="9" t="s">
        <v>77</v>
      </c>
      <c r="L69" s="9">
        <v>17460.0</v>
      </c>
      <c r="N69" s="9">
        <f t="shared" si="4"/>
        <v>59</v>
      </c>
      <c r="O69" s="9">
        <f t="shared" si="5"/>
        <v>0</v>
      </c>
      <c r="R69" s="1" t="s">
        <v>78</v>
      </c>
      <c r="S69" s="2"/>
      <c r="T69" s="2"/>
      <c r="U69" s="2"/>
      <c r="V69" s="2"/>
      <c r="W69" s="3"/>
    </row>
    <row r="70">
      <c r="A70" s="9">
        <f t="shared" si="2"/>
        <v>60</v>
      </c>
      <c r="B70" s="9">
        <v>5.00775169611111</v>
      </c>
      <c r="C70" s="9" t="s">
        <v>79</v>
      </c>
      <c r="D70" s="9">
        <v>18027.906106</v>
      </c>
      <c r="E70" s="9">
        <v>271.641471005114</v>
      </c>
      <c r="F70" s="9">
        <f t="shared" si="1"/>
        <v>267.906106</v>
      </c>
      <c r="I70" s="9">
        <f t="shared" si="3"/>
        <v>60</v>
      </c>
      <c r="J70" s="9">
        <v>4.93333333333333</v>
      </c>
      <c r="K70" s="9" t="s">
        <v>79</v>
      </c>
      <c r="L70" s="9">
        <v>17760.0</v>
      </c>
      <c r="N70" s="9">
        <f t="shared" si="4"/>
        <v>60</v>
      </c>
      <c r="O70" s="9">
        <f t="shared" si="5"/>
        <v>0</v>
      </c>
      <c r="R70" s="24" t="s">
        <v>80</v>
      </c>
      <c r="S70" s="2"/>
      <c r="T70" s="2"/>
      <c r="U70" s="2"/>
      <c r="V70" s="2"/>
      <c r="W70" s="3"/>
    </row>
    <row r="71">
      <c r="A71" s="9">
        <f t="shared" si="2"/>
        <v>61</v>
      </c>
      <c r="B71" s="9">
        <v>5.06844376166666</v>
      </c>
      <c r="C71" s="9" t="s">
        <v>81</v>
      </c>
      <c r="D71" s="9">
        <v>18246.397542</v>
      </c>
      <c r="E71" s="9">
        <v>260.759480068063</v>
      </c>
      <c r="F71" s="9">
        <f t="shared" si="1"/>
        <v>186.397542</v>
      </c>
      <c r="I71" s="9">
        <f t="shared" si="3"/>
        <v>61</v>
      </c>
      <c r="J71" s="9">
        <v>5.01666666666666</v>
      </c>
      <c r="K71" s="9" t="s">
        <v>81</v>
      </c>
      <c r="L71" s="9">
        <v>18060.0</v>
      </c>
      <c r="N71" s="9">
        <f t="shared" si="4"/>
        <v>61</v>
      </c>
      <c r="O71" s="9">
        <f t="shared" si="5"/>
        <v>0</v>
      </c>
      <c r="R71" s="25" t="s">
        <v>82</v>
      </c>
      <c r="S71" s="2"/>
      <c r="T71" s="2"/>
      <c r="U71" s="2"/>
      <c r="V71" s="2"/>
      <c r="W71" s="3"/>
    </row>
    <row r="72">
      <c r="A72" s="9">
        <f t="shared" si="2"/>
        <v>62</v>
      </c>
      <c r="B72" s="9">
        <v>5.15564242222222</v>
      </c>
      <c r="C72" s="9" t="s">
        <v>83</v>
      </c>
      <c r="D72" s="9">
        <v>18560.3127199999</v>
      </c>
      <c r="E72" s="9">
        <v>245.709106553997</v>
      </c>
      <c r="F72" s="9">
        <f t="shared" si="1"/>
        <v>200.31272</v>
      </c>
      <c r="I72" s="9">
        <f t="shared" si="3"/>
        <v>62</v>
      </c>
      <c r="J72" s="9">
        <v>5.1</v>
      </c>
      <c r="K72" s="9" t="s">
        <v>83</v>
      </c>
      <c r="L72" s="9">
        <v>18360.0</v>
      </c>
      <c r="N72" s="9">
        <f t="shared" si="4"/>
        <v>62</v>
      </c>
      <c r="O72" s="9">
        <f t="shared" si="5"/>
        <v>0</v>
      </c>
      <c r="R72" s="25" t="s">
        <v>84</v>
      </c>
      <c r="S72" s="2"/>
      <c r="T72" s="2"/>
      <c r="U72" s="2"/>
      <c r="V72" s="2"/>
      <c r="W72" s="3"/>
    </row>
    <row r="73">
      <c r="A73" s="9">
        <f t="shared" si="2"/>
        <v>63</v>
      </c>
      <c r="B73" s="9">
        <v>5.27234510055555</v>
      </c>
      <c r="C73" s="9" t="s">
        <v>85</v>
      </c>
      <c r="D73" s="9">
        <v>18980.4423619999</v>
      </c>
      <c r="E73" s="9">
        <v>204.812510433818</v>
      </c>
      <c r="F73" s="9">
        <f t="shared" si="1"/>
        <v>320.442362</v>
      </c>
      <c r="I73" s="9">
        <f t="shared" si="3"/>
        <v>63</v>
      </c>
      <c r="J73" s="9">
        <v>5.18333333333333</v>
      </c>
      <c r="K73" s="9" t="s">
        <v>85</v>
      </c>
      <c r="L73" s="9">
        <v>18660.0</v>
      </c>
      <c r="N73" s="9">
        <f t="shared" si="4"/>
        <v>63</v>
      </c>
      <c r="O73" s="9">
        <f t="shared" si="5"/>
        <v>0</v>
      </c>
      <c r="R73" s="25" t="s">
        <v>86</v>
      </c>
      <c r="S73" s="2"/>
      <c r="T73" s="2"/>
      <c r="U73" s="2"/>
      <c r="V73" s="2"/>
      <c r="W73" s="3"/>
    </row>
    <row r="74">
      <c r="A74" s="9">
        <f t="shared" si="2"/>
        <v>64</v>
      </c>
      <c r="B74" s="9">
        <v>5.3315501375</v>
      </c>
      <c r="C74" s="9" t="s">
        <v>87</v>
      </c>
      <c r="D74" s="9">
        <v>19193.580495</v>
      </c>
      <c r="E74" s="9">
        <v>235.53287266829</v>
      </c>
      <c r="F74" s="9">
        <f t="shared" si="1"/>
        <v>213.138133</v>
      </c>
      <c r="I74" s="9">
        <f t="shared" si="3"/>
        <v>64</v>
      </c>
      <c r="J74" s="9">
        <v>5.26666666666666</v>
      </c>
      <c r="K74" s="9" t="s">
        <v>87</v>
      </c>
      <c r="L74" s="9">
        <v>18960.0</v>
      </c>
      <c r="N74" s="9">
        <f t="shared" si="4"/>
        <v>64</v>
      </c>
      <c r="O74" s="9">
        <f t="shared" si="5"/>
        <v>20.442362</v>
      </c>
      <c r="Q74" s="12"/>
      <c r="R74" s="25" t="s">
        <v>88</v>
      </c>
      <c r="S74" s="2"/>
      <c r="T74" s="2"/>
      <c r="U74" s="2"/>
      <c r="V74" s="2"/>
      <c r="W74" s="3"/>
    </row>
    <row r="75">
      <c r="A75" s="9">
        <f t="shared" si="2"/>
        <v>65</v>
      </c>
      <c r="B75" s="9">
        <v>5.41379734</v>
      </c>
      <c r="C75" s="9" t="s">
        <v>89</v>
      </c>
      <c r="D75" s="9">
        <v>19489.670424</v>
      </c>
      <c r="E75" s="9">
        <v>233.946153599802</v>
      </c>
      <c r="F75" s="9">
        <f t="shared" si="1"/>
        <v>229.670424</v>
      </c>
      <c r="I75" s="9">
        <f t="shared" si="3"/>
        <v>65</v>
      </c>
      <c r="J75" s="9">
        <v>5.35</v>
      </c>
      <c r="K75" s="9" t="s">
        <v>89</v>
      </c>
      <c r="L75" s="9">
        <v>19260.0</v>
      </c>
      <c r="N75" s="9">
        <f t="shared" si="4"/>
        <v>65</v>
      </c>
      <c r="O75" s="9">
        <f t="shared" si="5"/>
        <v>0</v>
      </c>
      <c r="R75" s="26"/>
      <c r="S75" s="2"/>
      <c r="T75" s="2"/>
      <c r="U75" s="2"/>
      <c r="V75" s="2"/>
      <c r="W75" s="3"/>
    </row>
    <row r="76">
      <c r="A76" s="9">
        <f t="shared" si="2"/>
        <v>66</v>
      </c>
      <c r="B76" s="9">
        <v>5.529662635</v>
      </c>
      <c r="C76" s="9" t="s">
        <v>90</v>
      </c>
      <c r="D76" s="9">
        <v>19906.785486</v>
      </c>
      <c r="E76" s="9">
        <v>298.956939965024</v>
      </c>
      <c r="F76" s="9">
        <f t="shared" si="1"/>
        <v>346.785486</v>
      </c>
      <c r="I76" s="9">
        <f t="shared" si="3"/>
        <v>66</v>
      </c>
      <c r="J76" s="9">
        <v>5.43333333333333</v>
      </c>
      <c r="K76" s="9" t="s">
        <v>90</v>
      </c>
      <c r="L76" s="9">
        <v>19560.0</v>
      </c>
      <c r="N76" s="9">
        <f t="shared" si="4"/>
        <v>66</v>
      </c>
      <c r="O76" s="9">
        <f t="shared" si="5"/>
        <v>0</v>
      </c>
      <c r="R76" s="25" t="s">
        <v>91</v>
      </c>
      <c r="S76" s="2"/>
      <c r="T76" s="2"/>
      <c r="U76" s="3"/>
      <c r="V76" s="27">
        <f>144/43200</f>
        <v>0.003333333333</v>
      </c>
      <c r="W76" s="3"/>
    </row>
    <row r="77">
      <c r="A77" s="9">
        <f t="shared" si="2"/>
        <v>67</v>
      </c>
      <c r="B77" s="9">
        <v>5.56431193361111</v>
      </c>
      <c r="C77" s="9" t="s">
        <v>92</v>
      </c>
      <c r="D77" s="9">
        <v>20031.522961</v>
      </c>
      <c r="E77" s="9">
        <v>208.167824452935</v>
      </c>
      <c r="F77" s="9">
        <f t="shared" si="1"/>
        <v>124.737475</v>
      </c>
      <c r="I77" s="9">
        <f t="shared" si="3"/>
        <v>67</v>
      </c>
      <c r="J77" s="9">
        <v>5.51666666666666</v>
      </c>
      <c r="K77" s="9" t="s">
        <v>92</v>
      </c>
      <c r="L77" s="9">
        <v>19860.0</v>
      </c>
      <c r="N77" s="9">
        <f t="shared" si="4"/>
        <v>67</v>
      </c>
      <c r="O77" s="9">
        <f t="shared" si="5"/>
        <v>46.785486</v>
      </c>
      <c r="Q77" s="12"/>
      <c r="R77" s="25" t="s">
        <v>93</v>
      </c>
      <c r="S77" s="2"/>
      <c r="T77" s="2"/>
      <c r="U77" s="3"/>
      <c r="V77" s="27">
        <f>O160</f>
        <v>7.917144208</v>
      </c>
      <c r="W77" s="3"/>
    </row>
    <row r="78">
      <c r="A78" s="9">
        <f t="shared" si="2"/>
        <v>68</v>
      </c>
      <c r="B78" s="9">
        <v>5.65508301722222</v>
      </c>
      <c r="C78" s="9" t="s">
        <v>94</v>
      </c>
      <c r="D78" s="9">
        <v>20358.298862</v>
      </c>
      <c r="E78" s="9">
        <v>216.262112831245</v>
      </c>
      <c r="F78" s="9">
        <f t="shared" si="1"/>
        <v>198.298862</v>
      </c>
      <c r="I78" s="9">
        <f t="shared" si="3"/>
        <v>68</v>
      </c>
      <c r="J78" s="9">
        <v>5.6</v>
      </c>
      <c r="K78" s="9" t="s">
        <v>94</v>
      </c>
      <c r="L78" s="9">
        <v>20160.0</v>
      </c>
      <c r="N78" s="9">
        <f t="shared" si="4"/>
        <v>68</v>
      </c>
      <c r="O78" s="9">
        <f t="shared" si="5"/>
        <v>0</v>
      </c>
      <c r="R78" s="25" t="s">
        <v>95</v>
      </c>
      <c r="S78" s="2"/>
      <c r="T78" s="2"/>
      <c r="U78" s="3"/>
      <c r="V78" s="27">
        <f>V77*V76</f>
        <v>0.02639048069</v>
      </c>
      <c r="W78" s="3"/>
    </row>
    <row r="79">
      <c r="A79" s="9">
        <f t="shared" si="2"/>
        <v>69</v>
      </c>
      <c r="B79" s="9">
        <v>5.73585397972222</v>
      </c>
      <c r="C79" s="9" t="s">
        <v>96</v>
      </c>
      <c r="D79" s="9">
        <v>20649.074327</v>
      </c>
      <c r="E79" s="9">
        <v>259.176646322786</v>
      </c>
      <c r="F79" s="9">
        <f t="shared" si="1"/>
        <v>189.074327</v>
      </c>
      <c r="I79" s="9">
        <f t="shared" si="3"/>
        <v>69</v>
      </c>
      <c r="J79" s="9">
        <v>5.68333333333333</v>
      </c>
      <c r="K79" s="9" t="s">
        <v>96</v>
      </c>
      <c r="L79" s="9">
        <v>20460.0</v>
      </c>
      <c r="N79" s="9">
        <f t="shared" si="4"/>
        <v>69</v>
      </c>
      <c r="O79" s="9">
        <f t="shared" si="5"/>
        <v>0</v>
      </c>
      <c r="R79" s="17" t="s">
        <v>73</v>
      </c>
      <c r="S79" s="18"/>
      <c r="T79" s="18"/>
      <c r="U79" s="19"/>
      <c r="V79" s="17">
        <f>V78</f>
        <v>0.02639048069</v>
      </c>
      <c r="W79" s="19"/>
    </row>
    <row r="80">
      <c r="A80" s="9">
        <f t="shared" si="2"/>
        <v>70</v>
      </c>
      <c r="B80" s="9">
        <v>5.81703078111111</v>
      </c>
      <c r="C80" s="9" t="s">
        <v>97</v>
      </c>
      <c r="D80" s="9">
        <v>20941.310812</v>
      </c>
      <c r="E80" s="9">
        <v>181.727162469636</v>
      </c>
      <c r="F80" s="9">
        <f t="shared" si="1"/>
        <v>181.310812</v>
      </c>
      <c r="I80" s="9">
        <f t="shared" si="3"/>
        <v>70</v>
      </c>
      <c r="J80" s="9">
        <v>5.76666666666666</v>
      </c>
      <c r="K80" s="9" t="s">
        <v>97</v>
      </c>
      <c r="L80" s="9">
        <v>20760.0</v>
      </c>
      <c r="N80" s="9">
        <f t="shared" si="4"/>
        <v>70</v>
      </c>
      <c r="O80" s="9">
        <f t="shared" si="5"/>
        <v>0</v>
      </c>
      <c r="R80" s="21"/>
      <c r="S80" s="22"/>
      <c r="T80" s="22"/>
      <c r="U80" s="23"/>
      <c r="V80" s="21"/>
      <c r="W80" s="23"/>
    </row>
    <row r="81">
      <c r="A81" s="9">
        <f t="shared" si="2"/>
        <v>71</v>
      </c>
      <c r="B81" s="9">
        <v>5.91308761083333</v>
      </c>
      <c r="C81" s="9" t="s">
        <v>98</v>
      </c>
      <c r="D81" s="9">
        <v>21287.115399</v>
      </c>
      <c r="E81" s="9">
        <v>324.767879038827</v>
      </c>
      <c r="F81" s="9">
        <f t="shared" si="1"/>
        <v>227.115399</v>
      </c>
      <c r="I81" s="9">
        <f t="shared" si="3"/>
        <v>71</v>
      </c>
      <c r="J81" s="9">
        <v>5.85</v>
      </c>
      <c r="K81" s="9" t="s">
        <v>98</v>
      </c>
      <c r="L81" s="9">
        <v>21060.0</v>
      </c>
      <c r="N81" s="9">
        <f t="shared" si="4"/>
        <v>71</v>
      </c>
      <c r="O81" s="9">
        <f t="shared" si="5"/>
        <v>0</v>
      </c>
    </row>
    <row r="82">
      <c r="A82" s="9">
        <f t="shared" si="2"/>
        <v>72</v>
      </c>
      <c r="B82" s="9">
        <v>5.99420953833333</v>
      </c>
      <c r="C82" s="9" t="s">
        <v>99</v>
      </c>
      <c r="D82" s="9">
        <v>21579.154338</v>
      </c>
      <c r="E82" s="9">
        <v>285.838838178679</v>
      </c>
      <c r="F82" s="9">
        <f t="shared" si="1"/>
        <v>219.154338</v>
      </c>
      <c r="I82" s="9">
        <f t="shared" si="3"/>
        <v>72</v>
      </c>
      <c r="J82" s="9">
        <v>5.93333333333333</v>
      </c>
      <c r="K82" s="9" t="s">
        <v>99</v>
      </c>
      <c r="L82" s="9">
        <v>21360.0</v>
      </c>
      <c r="N82" s="9">
        <f t="shared" si="4"/>
        <v>72</v>
      </c>
      <c r="O82" s="9">
        <f t="shared" si="5"/>
        <v>0</v>
      </c>
    </row>
    <row r="83">
      <c r="A83" s="9">
        <f t="shared" si="2"/>
        <v>73</v>
      </c>
      <c r="B83" s="9">
        <v>6.06277865</v>
      </c>
      <c r="C83" s="9" t="s">
        <v>100</v>
      </c>
      <c r="D83" s="9">
        <v>21826.00314</v>
      </c>
      <c r="E83" s="9">
        <v>93.9172723118744</v>
      </c>
      <c r="F83" s="9">
        <f t="shared" si="1"/>
        <v>166.00314</v>
      </c>
      <c r="I83" s="9">
        <f t="shared" si="3"/>
        <v>73</v>
      </c>
      <c r="J83" s="9">
        <v>6.01666666666666</v>
      </c>
      <c r="K83" s="9" t="s">
        <v>100</v>
      </c>
      <c r="L83" s="9">
        <v>21660.0</v>
      </c>
      <c r="N83" s="9">
        <f t="shared" si="4"/>
        <v>73</v>
      </c>
      <c r="O83" s="9">
        <f t="shared" si="5"/>
        <v>0</v>
      </c>
    </row>
    <row r="84">
      <c r="A84" s="9">
        <f t="shared" si="2"/>
        <v>74</v>
      </c>
      <c r="B84" s="9">
        <v>6.17499698194444</v>
      </c>
      <c r="C84" s="9" t="s">
        <v>101</v>
      </c>
      <c r="D84" s="9">
        <v>22229.989135</v>
      </c>
      <c r="E84" s="9">
        <v>269.191004122639</v>
      </c>
      <c r="F84" s="9">
        <f t="shared" si="1"/>
        <v>269.989135</v>
      </c>
      <c r="I84" s="9">
        <f t="shared" si="3"/>
        <v>74</v>
      </c>
      <c r="J84" s="9">
        <v>6.1</v>
      </c>
      <c r="K84" s="9" t="s">
        <v>101</v>
      </c>
      <c r="L84" s="9">
        <v>21960.0</v>
      </c>
      <c r="N84" s="9">
        <f t="shared" si="4"/>
        <v>74</v>
      </c>
      <c r="O84" s="9">
        <f t="shared" si="5"/>
        <v>0</v>
      </c>
    </row>
    <row r="85">
      <c r="A85" s="9">
        <f t="shared" si="2"/>
        <v>75</v>
      </c>
      <c r="B85" s="9">
        <v>6.25287387027777</v>
      </c>
      <c r="C85" s="9" t="s">
        <v>102</v>
      </c>
      <c r="D85" s="9">
        <v>22510.345933</v>
      </c>
      <c r="E85" s="9">
        <v>151.508679241323</v>
      </c>
      <c r="F85" s="9">
        <f t="shared" si="1"/>
        <v>250.345933</v>
      </c>
      <c r="I85" s="9">
        <f t="shared" si="3"/>
        <v>75</v>
      </c>
      <c r="J85" s="9">
        <v>6.18333333333333</v>
      </c>
      <c r="K85" s="9" t="s">
        <v>102</v>
      </c>
      <c r="L85" s="9">
        <v>22260.0</v>
      </c>
      <c r="N85" s="9">
        <f t="shared" si="4"/>
        <v>75</v>
      </c>
      <c r="O85" s="9">
        <f t="shared" si="5"/>
        <v>0</v>
      </c>
    </row>
    <row r="86">
      <c r="A86" s="9">
        <f t="shared" si="2"/>
        <v>76</v>
      </c>
      <c r="B86" s="9">
        <v>6.35000994694444</v>
      </c>
      <c r="C86" s="9" t="s">
        <v>103</v>
      </c>
      <c r="D86" s="9">
        <v>22860.0358089999</v>
      </c>
      <c r="E86" s="9">
        <v>255.104900525668</v>
      </c>
      <c r="F86" s="9">
        <f t="shared" si="1"/>
        <v>300.035809</v>
      </c>
      <c r="I86" s="9">
        <f t="shared" si="3"/>
        <v>76</v>
      </c>
      <c r="J86" s="9">
        <v>6.26666666666666</v>
      </c>
      <c r="K86" s="9" t="s">
        <v>103</v>
      </c>
      <c r="L86" s="9">
        <v>22560.0</v>
      </c>
      <c r="N86" s="9">
        <f t="shared" si="4"/>
        <v>76</v>
      </c>
      <c r="O86" s="9">
        <f t="shared" si="5"/>
        <v>0</v>
      </c>
    </row>
    <row r="87">
      <c r="A87" s="9">
        <f t="shared" si="2"/>
        <v>77</v>
      </c>
      <c r="B87" s="9">
        <v>6.40357347138888</v>
      </c>
      <c r="C87" s="9" t="s">
        <v>104</v>
      </c>
      <c r="D87" s="9">
        <v>23052.864497</v>
      </c>
      <c r="E87" s="9">
        <v>210.333090042434</v>
      </c>
      <c r="F87" s="9">
        <f t="shared" si="1"/>
        <v>192.828688</v>
      </c>
      <c r="I87" s="9">
        <f t="shared" si="3"/>
        <v>77</v>
      </c>
      <c r="J87" s="9">
        <v>6.35</v>
      </c>
      <c r="K87" s="9" t="s">
        <v>104</v>
      </c>
      <c r="L87" s="9">
        <v>22860.0</v>
      </c>
      <c r="N87" s="9">
        <f t="shared" si="4"/>
        <v>77</v>
      </c>
      <c r="O87" s="9">
        <f t="shared" si="5"/>
        <v>0.0358089999</v>
      </c>
    </row>
    <row r="88">
      <c r="A88" s="9">
        <f t="shared" si="2"/>
        <v>78</v>
      </c>
      <c r="B88" s="9">
        <v>6.50005066055555</v>
      </c>
      <c r="C88" s="9" t="s">
        <v>105</v>
      </c>
      <c r="D88" s="9">
        <v>23400.1823779999</v>
      </c>
      <c r="E88" s="9">
        <v>233.844752007926</v>
      </c>
      <c r="F88" s="9">
        <f t="shared" si="1"/>
        <v>240.182378</v>
      </c>
      <c r="I88" s="9">
        <f t="shared" si="3"/>
        <v>78</v>
      </c>
      <c r="J88" s="9">
        <v>6.43333333333333</v>
      </c>
      <c r="K88" s="9" t="s">
        <v>105</v>
      </c>
      <c r="L88" s="9">
        <v>23160.0</v>
      </c>
      <c r="N88" s="9">
        <f t="shared" si="4"/>
        <v>78</v>
      </c>
      <c r="O88" s="9">
        <f t="shared" si="5"/>
        <v>0</v>
      </c>
    </row>
    <row r="89">
      <c r="A89" s="9">
        <f t="shared" si="2"/>
        <v>79</v>
      </c>
      <c r="B89" s="9">
        <v>6.58017549222222</v>
      </c>
      <c r="C89" s="9" t="s">
        <v>106</v>
      </c>
      <c r="D89" s="9">
        <v>23688.631772</v>
      </c>
      <c r="E89" s="9">
        <v>227.566789811196</v>
      </c>
      <c r="F89" s="9">
        <f t="shared" si="1"/>
        <v>228.631772</v>
      </c>
      <c r="I89" s="9">
        <f t="shared" si="3"/>
        <v>79</v>
      </c>
      <c r="J89" s="9">
        <v>6.51666666666666</v>
      </c>
      <c r="K89" s="9" t="s">
        <v>106</v>
      </c>
      <c r="L89" s="9">
        <v>23460.0</v>
      </c>
      <c r="N89" s="9">
        <f t="shared" si="4"/>
        <v>79</v>
      </c>
      <c r="O89" s="9">
        <f t="shared" si="5"/>
        <v>0</v>
      </c>
    </row>
    <row r="90">
      <c r="A90" s="9">
        <f t="shared" si="2"/>
        <v>80</v>
      </c>
      <c r="B90" s="9">
        <v>6.66383050888888</v>
      </c>
      <c r="C90" s="9" t="s">
        <v>107</v>
      </c>
      <c r="D90" s="9">
        <v>23989.789832</v>
      </c>
      <c r="E90" s="9">
        <v>292.010173699933</v>
      </c>
      <c r="F90" s="9">
        <f t="shared" si="1"/>
        <v>229.789832</v>
      </c>
      <c r="I90" s="9">
        <f t="shared" si="3"/>
        <v>80</v>
      </c>
      <c r="J90" s="9">
        <v>6.6</v>
      </c>
      <c r="K90" s="9" t="s">
        <v>107</v>
      </c>
      <c r="L90" s="9">
        <v>23760.0</v>
      </c>
      <c r="N90" s="9">
        <f t="shared" si="4"/>
        <v>80</v>
      </c>
      <c r="O90" s="9">
        <f t="shared" si="5"/>
        <v>0</v>
      </c>
    </row>
    <row r="91">
      <c r="A91" s="9">
        <f t="shared" si="2"/>
        <v>81</v>
      </c>
      <c r="B91" s="9">
        <v>6.76562793361111</v>
      </c>
      <c r="C91" s="9" t="s">
        <v>108</v>
      </c>
      <c r="D91" s="9">
        <v>24356.260561</v>
      </c>
      <c r="E91" s="9">
        <v>264.010283281039</v>
      </c>
      <c r="F91" s="9">
        <f t="shared" si="1"/>
        <v>296.260561</v>
      </c>
      <c r="I91" s="9">
        <f t="shared" si="3"/>
        <v>81</v>
      </c>
      <c r="J91" s="9">
        <v>6.68333333333333</v>
      </c>
      <c r="K91" s="9" t="s">
        <v>108</v>
      </c>
      <c r="L91" s="9">
        <v>24060.0</v>
      </c>
      <c r="N91" s="9">
        <f t="shared" si="4"/>
        <v>81</v>
      </c>
      <c r="O91" s="9">
        <f t="shared" si="5"/>
        <v>0</v>
      </c>
    </row>
    <row r="92">
      <c r="A92" s="9">
        <f t="shared" si="2"/>
        <v>82</v>
      </c>
      <c r="B92" s="9">
        <v>6.84109662666666</v>
      </c>
      <c r="C92" s="9" t="s">
        <v>109</v>
      </c>
      <c r="D92" s="9">
        <v>24627.947856</v>
      </c>
      <c r="E92" s="9">
        <v>333.009392164657</v>
      </c>
      <c r="F92" s="9">
        <f t="shared" si="1"/>
        <v>267.947856</v>
      </c>
      <c r="I92" s="9">
        <f t="shared" si="3"/>
        <v>82</v>
      </c>
      <c r="J92" s="9">
        <v>6.76666666666666</v>
      </c>
      <c r="K92" s="9" t="s">
        <v>109</v>
      </c>
      <c r="L92" s="9">
        <v>24360.0</v>
      </c>
      <c r="N92" s="9">
        <f t="shared" si="4"/>
        <v>82</v>
      </c>
      <c r="O92" s="9">
        <f t="shared" si="5"/>
        <v>0</v>
      </c>
    </row>
    <row r="93">
      <c r="A93" s="9">
        <f t="shared" si="2"/>
        <v>83</v>
      </c>
      <c r="B93" s="9">
        <v>6.90716687833333</v>
      </c>
      <c r="C93" s="9" t="s">
        <v>110</v>
      </c>
      <c r="D93" s="9">
        <v>24865.800762</v>
      </c>
      <c r="E93" s="9">
        <v>271.240135752943</v>
      </c>
      <c r="F93" s="9">
        <f t="shared" si="1"/>
        <v>205.800762</v>
      </c>
      <c r="I93" s="9">
        <f t="shared" si="3"/>
        <v>83</v>
      </c>
      <c r="J93" s="9">
        <v>6.85</v>
      </c>
      <c r="K93" s="9" t="s">
        <v>110</v>
      </c>
      <c r="L93" s="9">
        <v>24660.0</v>
      </c>
      <c r="N93" s="9">
        <f t="shared" si="4"/>
        <v>83</v>
      </c>
      <c r="O93" s="9">
        <f t="shared" si="5"/>
        <v>0</v>
      </c>
    </row>
    <row r="94">
      <c r="A94" s="9">
        <f t="shared" si="2"/>
        <v>84</v>
      </c>
      <c r="B94" s="9">
        <v>7.031840635</v>
      </c>
      <c r="C94" s="9" t="s">
        <v>111</v>
      </c>
      <c r="D94" s="9">
        <v>25314.626286</v>
      </c>
      <c r="E94" s="9">
        <v>263.046272130941</v>
      </c>
      <c r="F94" s="9">
        <f t="shared" si="1"/>
        <v>354.626286</v>
      </c>
      <c r="I94" s="9">
        <f t="shared" si="3"/>
        <v>84</v>
      </c>
      <c r="J94" s="9">
        <v>6.93333333333333</v>
      </c>
      <c r="K94" s="9" t="s">
        <v>111</v>
      </c>
      <c r="L94" s="9">
        <v>24960.0</v>
      </c>
      <c r="N94" s="9">
        <f t="shared" si="4"/>
        <v>84</v>
      </c>
      <c r="O94" s="9">
        <f t="shared" si="5"/>
        <v>0</v>
      </c>
    </row>
    <row r="95">
      <c r="A95" s="9">
        <f t="shared" si="2"/>
        <v>85</v>
      </c>
      <c r="B95" s="9">
        <v>7.11864523916666</v>
      </c>
      <c r="C95" s="9" t="s">
        <v>112</v>
      </c>
      <c r="D95" s="9">
        <v>25627.122861</v>
      </c>
      <c r="E95" s="9">
        <v>270.572106891158</v>
      </c>
      <c r="F95" s="9">
        <f t="shared" si="1"/>
        <v>312.496575</v>
      </c>
      <c r="I95" s="9">
        <f t="shared" si="3"/>
        <v>85</v>
      </c>
      <c r="J95" s="9">
        <v>7.01666666666666</v>
      </c>
      <c r="K95" s="9" t="s">
        <v>112</v>
      </c>
      <c r="L95" s="9">
        <v>25260.0</v>
      </c>
      <c r="N95" s="9">
        <f t="shared" si="4"/>
        <v>85</v>
      </c>
      <c r="O95" s="9">
        <f t="shared" si="5"/>
        <v>54.626286</v>
      </c>
      <c r="Q95" s="12"/>
    </row>
    <row r="96">
      <c r="A96" s="9">
        <f t="shared" si="2"/>
        <v>86</v>
      </c>
      <c r="B96" s="9">
        <v>7.18933868638888</v>
      </c>
      <c r="C96" s="9" t="s">
        <v>113</v>
      </c>
      <c r="D96" s="9">
        <v>25881.619271</v>
      </c>
      <c r="E96" s="9">
        <v>351.558068290296</v>
      </c>
      <c r="F96" s="9">
        <f t="shared" si="1"/>
        <v>254.49641</v>
      </c>
      <c r="I96" s="9">
        <f t="shared" si="3"/>
        <v>86</v>
      </c>
      <c r="J96" s="9">
        <v>7.1</v>
      </c>
      <c r="K96" s="9" t="s">
        <v>113</v>
      </c>
      <c r="L96" s="9">
        <v>25560.0</v>
      </c>
      <c r="N96" s="9">
        <f t="shared" si="4"/>
        <v>86</v>
      </c>
      <c r="O96" s="9">
        <f t="shared" si="5"/>
        <v>67.122861</v>
      </c>
      <c r="Q96" s="12"/>
    </row>
    <row r="97">
      <c r="A97" s="9">
        <f t="shared" si="2"/>
        <v>87</v>
      </c>
      <c r="B97" s="9">
        <v>7.25100821472222</v>
      </c>
      <c r="C97" s="9" t="s">
        <v>114</v>
      </c>
      <c r="D97" s="9">
        <v>26103.629573</v>
      </c>
      <c r="E97" s="9">
        <v>224.772051600337</v>
      </c>
      <c r="F97" s="9">
        <f t="shared" si="1"/>
        <v>222.010302</v>
      </c>
      <c r="I97" s="9">
        <f t="shared" si="3"/>
        <v>87</v>
      </c>
      <c r="J97" s="9">
        <v>7.18333333333333</v>
      </c>
      <c r="K97" s="9" t="s">
        <v>114</v>
      </c>
      <c r="L97" s="9">
        <v>25860.0</v>
      </c>
      <c r="N97" s="9">
        <f t="shared" si="4"/>
        <v>87</v>
      </c>
      <c r="O97" s="9">
        <f t="shared" si="5"/>
        <v>21.619271</v>
      </c>
      <c r="Q97" s="12"/>
    </row>
    <row r="98">
      <c r="A98" s="9">
        <f t="shared" si="2"/>
        <v>88</v>
      </c>
      <c r="B98" s="9">
        <v>7.34406433972222</v>
      </c>
      <c r="C98" s="9" t="s">
        <v>115</v>
      </c>
      <c r="D98" s="9">
        <v>26438.6316229999</v>
      </c>
      <c r="E98" s="9">
        <v>235.267708962281</v>
      </c>
      <c r="F98" s="9">
        <f t="shared" si="1"/>
        <v>278.631623</v>
      </c>
      <c r="I98" s="9">
        <f t="shared" si="3"/>
        <v>88</v>
      </c>
      <c r="J98" s="9">
        <v>7.26666666666666</v>
      </c>
      <c r="K98" s="9" t="s">
        <v>115</v>
      </c>
      <c r="L98" s="9">
        <v>26160.0</v>
      </c>
      <c r="N98" s="9">
        <f t="shared" si="4"/>
        <v>88</v>
      </c>
      <c r="O98" s="9">
        <f t="shared" si="5"/>
        <v>0</v>
      </c>
    </row>
    <row r="99">
      <c r="A99" s="9">
        <f t="shared" si="2"/>
        <v>89</v>
      </c>
      <c r="B99" s="9">
        <v>7.40667450194444</v>
      </c>
      <c r="C99" s="9" t="s">
        <v>116</v>
      </c>
      <c r="D99" s="9">
        <v>26664.028207</v>
      </c>
      <c r="E99" s="9">
        <v>264.063567525907</v>
      </c>
      <c r="F99" s="9">
        <f t="shared" si="1"/>
        <v>204.028207</v>
      </c>
      <c r="I99" s="9">
        <f t="shared" si="3"/>
        <v>89</v>
      </c>
      <c r="J99" s="9">
        <v>7.35</v>
      </c>
      <c r="K99" s="9" t="s">
        <v>116</v>
      </c>
      <c r="L99" s="9">
        <v>26460.0</v>
      </c>
      <c r="N99" s="9">
        <f t="shared" si="4"/>
        <v>89</v>
      </c>
      <c r="O99" s="9">
        <f t="shared" si="5"/>
        <v>0</v>
      </c>
    </row>
    <row r="100">
      <c r="A100" s="9">
        <f t="shared" si="2"/>
        <v>90</v>
      </c>
      <c r="B100" s="9">
        <v>7.50933864277777</v>
      </c>
      <c r="C100" s="9" t="s">
        <v>117</v>
      </c>
      <c r="D100" s="9">
        <v>27033.6191139999</v>
      </c>
      <c r="E100" s="9">
        <v>224.461878483112</v>
      </c>
      <c r="F100" s="9">
        <f t="shared" si="1"/>
        <v>273.619114</v>
      </c>
      <c r="I100" s="9">
        <f t="shared" si="3"/>
        <v>90</v>
      </c>
      <c r="J100" s="9">
        <v>7.43333333333333</v>
      </c>
      <c r="K100" s="9" t="s">
        <v>117</v>
      </c>
      <c r="L100" s="9">
        <v>26760.0</v>
      </c>
      <c r="N100" s="9">
        <f t="shared" si="4"/>
        <v>90</v>
      </c>
      <c r="O100" s="9">
        <f t="shared" si="5"/>
        <v>0</v>
      </c>
    </row>
    <row r="101">
      <c r="A101" s="9">
        <f t="shared" si="2"/>
        <v>91</v>
      </c>
      <c r="B101" s="9">
        <v>7.58792545111111</v>
      </c>
      <c r="C101" s="9" t="s">
        <v>118</v>
      </c>
      <c r="D101" s="9">
        <v>27316.531624</v>
      </c>
      <c r="E101" s="9">
        <v>200.821497976997</v>
      </c>
      <c r="F101" s="9">
        <f t="shared" si="1"/>
        <v>256.531624</v>
      </c>
      <c r="I101" s="9">
        <f t="shared" si="3"/>
        <v>91</v>
      </c>
      <c r="J101" s="9">
        <v>7.51666666666666</v>
      </c>
      <c r="K101" s="9" t="s">
        <v>118</v>
      </c>
      <c r="L101" s="9">
        <v>27060.0</v>
      </c>
      <c r="N101" s="9">
        <f t="shared" si="4"/>
        <v>91</v>
      </c>
      <c r="O101" s="9">
        <f t="shared" si="5"/>
        <v>0</v>
      </c>
    </row>
    <row r="102">
      <c r="A102" s="9">
        <f t="shared" si="2"/>
        <v>92</v>
      </c>
      <c r="B102" s="9">
        <v>7.70504286222222</v>
      </c>
      <c r="C102" s="9" t="s">
        <v>119</v>
      </c>
      <c r="D102" s="9">
        <v>27738.154304</v>
      </c>
      <c r="E102" s="9">
        <v>310.58646837873</v>
      </c>
      <c r="F102" s="9">
        <f t="shared" si="1"/>
        <v>378.154304</v>
      </c>
      <c r="I102" s="9">
        <f t="shared" si="3"/>
        <v>92</v>
      </c>
      <c r="J102" s="9">
        <v>7.6</v>
      </c>
      <c r="K102" s="9" t="s">
        <v>119</v>
      </c>
      <c r="L102" s="9">
        <v>27360.0</v>
      </c>
      <c r="N102" s="9">
        <f t="shared" si="4"/>
        <v>92</v>
      </c>
      <c r="O102" s="9">
        <f t="shared" si="5"/>
        <v>0</v>
      </c>
    </row>
    <row r="103">
      <c r="A103" s="9">
        <f t="shared" si="2"/>
        <v>93</v>
      </c>
      <c r="B103" s="9">
        <v>7.78339576333333</v>
      </c>
      <c r="C103" s="9" t="s">
        <v>120</v>
      </c>
      <c r="D103" s="9">
        <v>28020.224748</v>
      </c>
      <c r="E103" s="9">
        <v>327.927822105075</v>
      </c>
      <c r="F103" s="9">
        <f t="shared" si="1"/>
        <v>282.070444</v>
      </c>
      <c r="I103" s="9">
        <f t="shared" si="3"/>
        <v>93</v>
      </c>
      <c r="J103" s="9">
        <v>7.68333333333333</v>
      </c>
      <c r="K103" s="9" t="s">
        <v>120</v>
      </c>
      <c r="L103" s="9">
        <v>27660.0</v>
      </c>
      <c r="N103" s="9">
        <f t="shared" si="4"/>
        <v>93</v>
      </c>
      <c r="O103" s="9">
        <f t="shared" si="5"/>
        <v>78.154304</v>
      </c>
      <c r="Q103" s="12"/>
    </row>
    <row r="104">
      <c r="A104" s="9">
        <f t="shared" si="2"/>
        <v>94</v>
      </c>
      <c r="B104" s="9">
        <v>7.86317694749999</v>
      </c>
      <c r="C104" s="9" t="s">
        <v>121</v>
      </c>
      <c r="D104" s="9">
        <v>28307.4370109999</v>
      </c>
      <c r="E104" s="9">
        <v>144.611306823412</v>
      </c>
      <c r="F104" s="9">
        <f t="shared" si="1"/>
        <v>287.212263</v>
      </c>
      <c r="I104" s="9">
        <f t="shared" si="3"/>
        <v>94</v>
      </c>
      <c r="J104" s="9">
        <v>7.76666666666666</v>
      </c>
      <c r="K104" s="9" t="s">
        <v>121</v>
      </c>
      <c r="L104" s="9">
        <v>27960.0</v>
      </c>
      <c r="N104" s="9">
        <f t="shared" si="4"/>
        <v>94</v>
      </c>
      <c r="O104" s="9">
        <f t="shared" si="5"/>
        <v>60.224748</v>
      </c>
      <c r="Q104" s="12"/>
    </row>
    <row r="105">
      <c r="A105" s="9">
        <f t="shared" si="2"/>
        <v>95</v>
      </c>
      <c r="B105" s="9">
        <v>7.91569214611111</v>
      </c>
      <c r="C105" s="9" t="s">
        <v>122</v>
      </c>
      <c r="D105" s="9">
        <v>28496.491726</v>
      </c>
      <c r="E105" s="9">
        <v>241.402823753654</v>
      </c>
      <c r="F105" s="9">
        <f t="shared" si="1"/>
        <v>189.054715</v>
      </c>
      <c r="I105" s="9">
        <f t="shared" si="3"/>
        <v>95</v>
      </c>
      <c r="J105" s="9">
        <v>7.85</v>
      </c>
      <c r="K105" s="9" t="s">
        <v>122</v>
      </c>
      <c r="L105" s="9">
        <v>28260.0</v>
      </c>
      <c r="N105" s="9">
        <f t="shared" si="4"/>
        <v>95</v>
      </c>
      <c r="O105" s="9">
        <f t="shared" si="5"/>
        <v>47.437011</v>
      </c>
      <c r="Q105" s="12"/>
    </row>
    <row r="106">
      <c r="A106" s="9">
        <f t="shared" si="2"/>
        <v>96</v>
      </c>
      <c r="B106" s="9">
        <v>7.99797169361111</v>
      </c>
      <c r="C106" s="9" t="s">
        <v>123</v>
      </c>
      <c r="D106" s="9">
        <v>28792.698097</v>
      </c>
      <c r="E106" s="9">
        <v>210.525667091443</v>
      </c>
      <c r="F106" s="9">
        <f t="shared" si="1"/>
        <v>232.698097</v>
      </c>
      <c r="I106" s="9">
        <f t="shared" si="3"/>
        <v>96</v>
      </c>
      <c r="J106" s="9">
        <v>7.93333333333333</v>
      </c>
      <c r="K106" s="9" t="s">
        <v>123</v>
      </c>
      <c r="L106" s="9">
        <v>28560.0</v>
      </c>
      <c r="N106" s="9">
        <f t="shared" si="4"/>
        <v>96</v>
      </c>
      <c r="O106" s="9">
        <f t="shared" si="5"/>
        <v>0</v>
      </c>
      <c r="Q106" s="12"/>
    </row>
    <row r="107">
      <c r="A107" s="9">
        <f t="shared" si="2"/>
        <v>97</v>
      </c>
      <c r="B107" s="9">
        <v>8.07185400166666</v>
      </c>
      <c r="C107" s="9" t="s">
        <v>124</v>
      </c>
      <c r="D107" s="9">
        <v>29058.674406</v>
      </c>
      <c r="E107" s="9">
        <v>182.239269367095</v>
      </c>
      <c r="F107" s="9">
        <f t="shared" si="1"/>
        <v>198.674406</v>
      </c>
      <c r="I107" s="9">
        <f t="shared" si="3"/>
        <v>97</v>
      </c>
      <c r="J107" s="9">
        <v>8.01666666666666</v>
      </c>
      <c r="K107" s="9" t="s">
        <v>124</v>
      </c>
      <c r="L107" s="9">
        <v>28860.0</v>
      </c>
      <c r="N107" s="9">
        <f t="shared" si="4"/>
        <v>97</v>
      </c>
      <c r="O107" s="9">
        <f t="shared" si="5"/>
        <v>0</v>
      </c>
    </row>
    <row r="108">
      <c r="A108" s="9">
        <f t="shared" si="2"/>
        <v>98</v>
      </c>
      <c r="B108" s="9">
        <v>8.13442737944444</v>
      </c>
      <c r="C108" s="9" t="s">
        <v>125</v>
      </c>
      <c r="D108" s="9">
        <v>29283.938566</v>
      </c>
      <c r="E108" s="9">
        <v>178.798896434833</v>
      </c>
      <c r="F108" s="9">
        <f t="shared" si="1"/>
        <v>123.938566</v>
      </c>
      <c r="I108" s="9">
        <f t="shared" si="3"/>
        <v>98</v>
      </c>
      <c r="J108" s="9">
        <v>8.1</v>
      </c>
      <c r="K108" s="9" t="s">
        <v>125</v>
      </c>
      <c r="L108" s="9">
        <v>29160.0</v>
      </c>
      <c r="N108" s="9">
        <f t="shared" si="4"/>
        <v>98</v>
      </c>
      <c r="O108" s="9">
        <f t="shared" si="5"/>
        <v>0</v>
      </c>
    </row>
    <row r="109">
      <c r="A109" s="9">
        <f t="shared" si="2"/>
        <v>99</v>
      </c>
      <c r="B109" s="9">
        <v>8.24318907972222</v>
      </c>
      <c r="C109" s="9" t="s">
        <v>126</v>
      </c>
      <c r="D109" s="9">
        <v>29675.480687</v>
      </c>
      <c r="E109" s="9">
        <v>254.773891263882</v>
      </c>
      <c r="F109" s="9">
        <f t="shared" si="1"/>
        <v>215.480687</v>
      </c>
      <c r="I109" s="9">
        <f t="shared" si="3"/>
        <v>99</v>
      </c>
      <c r="J109" s="9">
        <v>8.18333333333333</v>
      </c>
      <c r="K109" s="9" t="s">
        <v>126</v>
      </c>
      <c r="L109" s="9">
        <v>29460.0</v>
      </c>
      <c r="N109" s="9">
        <f t="shared" si="4"/>
        <v>99</v>
      </c>
      <c r="O109" s="9">
        <f t="shared" si="5"/>
        <v>0</v>
      </c>
    </row>
    <row r="110">
      <c r="A110" s="9">
        <f t="shared" si="2"/>
        <v>100</v>
      </c>
      <c r="B110" s="9">
        <v>8.34415823944444</v>
      </c>
      <c r="C110" s="9" t="s">
        <v>127</v>
      </c>
      <c r="D110" s="9">
        <v>30038.969662</v>
      </c>
      <c r="E110" s="9">
        <v>191.658358572775</v>
      </c>
      <c r="F110" s="9">
        <f t="shared" si="1"/>
        <v>278.969662</v>
      </c>
      <c r="I110" s="9">
        <f t="shared" si="3"/>
        <v>100</v>
      </c>
      <c r="J110" s="9">
        <v>8.26666666666666</v>
      </c>
      <c r="K110" s="9" t="s">
        <v>127</v>
      </c>
      <c r="L110" s="9">
        <v>29760.0</v>
      </c>
      <c r="N110" s="9">
        <f t="shared" si="4"/>
        <v>100</v>
      </c>
      <c r="O110" s="9">
        <f t="shared" si="5"/>
        <v>0</v>
      </c>
    </row>
    <row r="111">
      <c r="A111" s="9">
        <f t="shared" si="2"/>
        <v>101</v>
      </c>
      <c r="B111" s="9">
        <v>8.39604167833333</v>
      </c>
      <c r="C111" s="9" t="s">
        <v>128</v>
      </c>
      <c r="D111" s="9">
        <v>30225.750042</v>
      </c>
      <c r="E111" s="9">
        <v>147.222510153211</v>
      </c>
      <c r="F111" s="9">
        <f t="shared" si="1"/>
        <v>165.750042</v>
      </c>
      <c r="I111" s="9">
        <f t="shared" si="3"/>
        <v>101</v>
      </c>
      <c r="J111" s="9">
        <v>8.35</v>
      </c>
      <c r="K111" s="9" t="s">
        <v>128</v>
      </c>
      <c r="L111" s="9">
        <v>30060.0</v>
      </c>
      <c r="N111" s="9">
        <f t="shared" si="4"/>
        <v>101</v>
      </c>
      <c r="O111" s="9">
        <f t="shared" si="5"/>
        <v>0</v>
      </c>
    </row>
    <row r="112">
      <c r="A112" s="9">
        <f t="shared" si="2"/>
        <v>102</v>
      </c>
      <c r="B112" s="9">
        <v>8.50962389277777</v>
      </c>
      <c r="C112" s="9" t="s">
        <v>129</v>
      </c>
      <c r="D112" s="9">
        <v>30634.6460139999</v>
      </c>
      <c r="E112" s="9">
        <v>312.922220485933</v>
      </c>
      <c r="F112" s="9">
        <f t="shared" si="1"/>
        <v>274.646014</v>
      </c>
      <c r="I112" s="9">
        <f t="shared" si="3"/>
        <v>102</v>
      </c>
      <c r="J112" s="9">
        <v>8.43333333333333</v>
      </c>
      <c r="K112" s="9" t="s">
        <v>129</v>
      </c>
      <c r="L112" s="9">
        <v>30360.0</v>
      </c>
      <c r="N112" s="9">
        <f t="shared" si="4"/>
        <v>102</v>
      </c>
      <c r="O112" s="9">
        <f t="shared" si="5"/>
        <v>0</v>
      </c>
    </row>
    <row r="113">
      <c r="A113" s="9">
        <f t="shared" si="2"/>
        <v>103</v>
      </c>
      <c r="B113" s="9">
        <v>8.59682780194444</v>
      </c>
      <c r="C113" s="9" t="s">
        <v>130</v>
      </c>
      <c r="D113" s="9">
        <v>30948.580087</v>
      </c>
      <c r="E113" s="9">
        <v>236.562165028346</v>
      </c>
      <c r="F113" s="9">
        <f t="shared" si="1"/>
        <v>288.580087</v>
      </c>
      <c r="I113" s="9">
        <f t="shared" si="3"/>
        <v>103</v>
      </c>
      <c r="J113" s="9">
        <v>8.51666666666666</v>
      </c>
      <c r="K113" s="9" t="s">
        <v>130</v>
      </c>
      <c r="L113" s="9">
        <v>30660.0</v>
      </c>
      <c r="N113" s="9">
        <f t="shared" si="4"/>
        <v>103</v>
      </c>
      <c r="O113" s="9">
        <f t="shared" si="5"/>
        <v>0</v>
      </c>
    </row>
    <row r="114">
      <c r="A114" s="9">
        <f t="shared" si="2"/>
        <v>104</v>
      </c>
      <c r="B114" s="9">
        <v>8.67466737527777</v>
      </c>
      <c r="C114" s="9" t="s">
        <v>131</v>
      </c>
      <c r="D114" s="9">
        <v>31228.8025509999</v>
      </c>
      <c r="E114" s="9">
        <v>274.559351570382</v>
      </c>
      <c r="F114" s="9">
        <f t="shared" si="1"/>
        <v>268.802551</v>
      </c>
      <c r="I114" s="9">
        <f t="shared" si="3"/>
        <v>104</v>
      </c>
      <c r="J114" s="9">
        <v>8.6</v>
      </c>
      <c r="K114" s="9" t="s">
        <v>131</v>
      </c>
      <c r="L114" s="9">
        <v>30960.0</v>
      </c>
      <c r="N114" s="9">
        <f t="shared" si="4"/>
        <v>104</v>
      </c>
      <c r="O114" s="9">
        <f t="shared" si="5"/>
        <v>0</v>
      </c>
    </row>
    <row r="115">
      <c r="A115" s="9">
        <f t="shared" si="2"/>
        <v>105</v>
      </c>
      <c r="B115" s="9">
        <v>8.78299485388888</v>
      </c>
      <c r="C115" s="9" t="s">
        <v>132</v>
      </c>
      <c r="D115" s="9">
        <v>31618.781474</v>
      </c>
      <c r="E115" s="9">
        <v>180.190338254623</v>
      </c>
      <c r="F115" s="9">
        <f t="shared" si="1"/>
        <v>358.781474</v>
      </c>
      <c r="I115" s="9">
        <f t="shared" si="3"/>
        <v>105</v>
      </c>
      <c r="J115" s="9">
        <v>8.68333333333333</v>
      </c>
      <c r="K115" s="9" t="s">
        <v>132</v>
      </c>
      <c r="L115" s="9">
        <v>31260.0</v>
      </c>
      <c r="N115" s="9">
        <f t="shared" si="4"/>
        <v>105</v>
      </c>
      <c r="O115" s="9">
        <f t="shared" si="5"/>
        <v>0</v>
      </c>
    </row>
    <row r="116">
      <c r="A116" s="9">
        <f t="shared" si="2"/>
        <v>106</v>
      </c>
      <c r="B116" s="9">
        <v>8.82273786333333</v>
      </c>
      <c r="C116" s="9" t="s">
        <v>133</v>
      </c>
      <c r="D116" s="9">
        <v>31761.856308</v>
      </c>
      <c r="E116" s="9">
        <v>239.95282643784</v>
      </c>
      <c r="F116" s="9">
        <f t="shared" si="1"/>
        <v>143.074834</v>
      </c>
      <c r="I116" s="9">
        <f t="shared" si="3"/>
        <v>106</v>
      </c>
      <c r="J116" s="9">
        <v>8.76666666666666</v>
      </c>
      <c r="K116" s="9" t="s">
        <v>133</v>
      </c>
      <c r="L116" s="9">
        <v>31560.0</v>
      </c>
      <c r="N116" s="9">
        <f t="shared" si="4"/>
        <v>106</v>
      </c>
      <c r="O116" s="9">
        <f t="shared" si="5"/>
        <v>58.781474</v>
      </c>
      <c r="Q116" s="12"/>
    </row>
    <row r="117">
      <c r="A117" s="9">
        <f t="shared" si="2"/>
        <v>107</v>
      </c>
      <c r="B117" s="9">
        <v>8.91327683361111</v>
      </c>
      <c r="C117" s="9" t="s">
        <v>134</v>
      </c>
      <c r="D117" s="9">
        <v>32087.796601</v>
      </c>
      <c r="E117" s="9">
        <v>238.295901978018</v>
      </c>
      <c r="F117" s="9">
        <f t="shared" si="1"/>
        <v>227.796601</v>
      </c>
      <c r="I117" s="9">
        <f t="shared" si="3"/>
        <v>107</v>
      </c>
      <c r="J117" s="9">
        <v>8.85</v>
      </c>
      <c r="K117" s="9" t="s">
        <v>134</v>
      </c>
      <c r="L117" s="9">
        <v>31860.0</v>
      </c>
      <c r="N117" s="9">
        <f t="shared" si="4"/>
        <v>107</v>
      </c>
      <c r="O117" s="9">
        <f t="shared" si="5"/>
        <v>0</v>
      </c>
    </row>
    <row r="118">
      <c r="A118" s="9">
        <f t="shared" si="2"/>
        <v>108</v>
      </c>
      <c r="B118" s="9">
        <v>9.02975901861111</v>
      </c>
      <c r="C118" s="9" t="s">
        <v>135</v>
      </c>
      <c r="D118" s="9">
        <v>32507.132467</v>
      </c>
      <c r="E118" s="9">
        <v>254.674730823228</v>
      </c>
      <c r="F118" s="9">
        <f t="shared" si="1"/>
        <v>347.132467</v>
      </c>
      <c r="I118" s="9">
        <f t="shared" si="3"/>
        <v>108</v>
      </c>
      <c r="J118" s="9">
        <v>8.93333333333333</v>
      </c>
      <c r="K118" s="9" t="s">
        <v>135</v>
      </c>
      <c r="L118" s="9">
        <v>32160.0</v>
      </c>
      <c r="N118" s="9">
        <f t="shared" si="4"/>
        <v>108</v>
      </c>
      <c r="O118" s="9">
        <f t="shared" si="5"/>
        <v>0</v>
      </c>
    </row>
    <row r="119">
      <c r="A119" s="9">
        <f t="shared" si="2"/>
        <v>109</v>
      </c>
      <c r="B119" s="9">
        <v>9.07777780027777</v>
      </c>
      <c r="C119" s="9" t="s">
        <v>136</v>
      </c>
      <c r="D119" s="9">
        <v>32680.000081</v>
      </c>
      <c r="E119" s="9">
        <v>133.353188228548</v>
      </c>
      <c r="F119" s="9">
        <f t="shared" si="1"/>
        <v>172.867614</v>
      </c>
      <c r="I119" s="9">
        <f t="shared" si="3"/>
        <v>109</v>
      </c>
      <c r="J119" s="9">
        <v>9.01666666666666</v>
      </c>
      <c r="K119" s="9" t="s">
        <v>136</v>
      </c>
      <c r="L119" s="9">
        <v>32460.0</v>
      </c>
      <c r="N119" s="9">
        <f t="shared" si="4"/>
        <v>109</v>
      </c>
      <c r="O119" s="9">
        <f t="shared" si="5"/>
        <v>47.132467</v>
      </c>
      <c r="Q119" s="12"/>
    </row>
    <row r="120">
      <c r="A120" s="9">
        <f t="shared" si="2"/>
        <v>110</v>
      </c>
      <c r="B120" s="9">
        <v>9.19070929333333</v>
      </c>
      <c r="C120" s="9" t="s">
        <v>137</v>
      </c>
      <c r="D120" s="9">
        <v>33086.553456</v>
      </c>
      <c r="E120" s="9">
        <v>369.929022092883</v>
      </c>
      <c r="F120" s="9">
        <f t="shared" si="1"/>
        <v>326.553456</v>
      </c>
      <c r="I120" s="9">
        <f t="shared" si="3"/>
        <v>110</v>
      </c>
      <c r="J120" s="9">
        <v>9.1</v>
      </c>
      <c r="K120" s="9" t="s">
        <v>137</v>
      </c>
      <c r="L120" s="9">
        <v>32760.0</v>
      </c>
      <c r="N120" s="9">
        <f t="shared" si="4"/>
        <v>110</v>
      </c>
      <c r="O120" s="9">
        <f t="shared" si="5"/>
        <v>0</v>
      </c>
    </row>
    <row r="121">
      <c r="A121" s="9">
        <f t="shared" si="2"/>
        <v>111</v>
      </c>
      <c r="B121" s="9">
        <v>9.26365188138888</v>
      </c>
      <c r="C121" s="9" t="s">
        <v>138</v>
      </c>
      <c r="D121" s="9">
        <v>33349.146773</v>
      </c>
      <c r="E121" s="9">
        <v>385.173428580165</v>
      </c>
      <c r="F121" s="9">
        <f t="shared" si="1"/>
        <v>262.593317</v>
      </c>
      <c r="I121" s="9">
        <f t="shared" si="3"/>
        <v>111</v>
      </c>
      <c r="J121" s="9">
        <v>9.18333333333333</v>
      </c>
      <c r="K121" s="9" t="s">
        <v>138</v>
      </c>
      <c r="L121" s="9">
        <v>33060.0</v>
      </c>
      <c r="N121" s="9">
        <f t="shared" si="4"/>
        <v>111</v>
      </c>
      <c r="O121" s="9">
        <f t="shared" si="5"/>
        <v>26.553456</v>
      </c>
      <c r="Q121" s="12"/>
    </row>
    <row r="122">
      <c r="A122" s="9">
        <f t="shared" si="2"/>
        <v>112</v>
      </c>
      <c r="B122" s="9">
        <v>9.36089392777777</v>
      </c>
      <c r="C122" s="9" t="s">
        <v>139</v>
      </c>
      <c r="D122" s="9">
        <v>33699.21814</v>
      </c>
      <c r="E122" s="9">
        <v>245.820737671296</v>
      </c>
      <c r="F122" s="9">
        <f t="shared" si="1"/>
        <v>339.21814</v>
      </c>
      <c r="I122" s="9">
        <f t="shared" si="3"/>
        <v>112</v>
      </c>
      <c r="J122" s="9">
        <v>9.26666666666666</v>
      </c>
      <c r="K122" s="9" t="s">
        <v>139</v>
      </c>
      <c r="L122" s="9">
        <v>33360.0</v>
      </c>
      <c r="N122" s="9">
        <f t="shared" si="4"/>
        <v>112</v>
      </c>
      <c r="O122" s="9">
        <f t="shared" si="5"/>
        <v>0</v>
      </c>
    </row>
    <row r="123">
      <c r="A123" s="9">
        <f t="shared" si="2"/>
        <v>113</v>
      </c>
      <c r="B123" s="9">
        <v>9.44403868111111</v>
      </c>
      <c r="C123" s="9" t="s">
        <v>140</v>
      </c>
      <c r="D123" s="9">
        <v>33998.5392519999</v>
      </c>
      <c r="E123" s="9">
        <v>179.905552048715</v>
      </c>
      <c r="F123" s="9">
        <f t="shared" si="1"/>
        <v>299.321112</v>
      </c>
      <c r="I123" s="9">
        <f t="shared" si="3"/>
        <v>113</v>
      </c>
      <c r="J123" s="9">
        <v>9.35</v>
      </c>
      <c r="K123" s="9" t="s">
        <v>140</v>
      </c>
      <c r="L123" s="9">
        <v>33660.0</v>
      </c>
      <c r="N123" s="9">
        <f t="shared" si="4"/>
        <v>113</v>
      </c>
      <c r="O123" s="9">
        <f t="shared" si="5"/>
        <v>39.21814</v>
      </c>
      <c r="Q123" s="12"/>
    </row>
    <row r="124">
      <c r="A124" s="9">
        <f t="shared" si="2"/>
        <v>114</v>
      </c>
      <c r="B124" s="9">
        <v>9.50313921472222</v>
      </c>
      <c r="C124" s="9" t="s">
        <v>141</v>
      </c>
      <c r="D124" s="9">
        <v>34211.301173</v>
      </c>
      <c r="E124" s="9">
        <v>192.754143690083</v>
      </c>
      <c r="F124" s="9">
        <f t="shared" si="1"/>
        <v>212.761921</v>
      </c>
      <c r="I124" s="9">
        <f t="shared" si="3"/>
        <v>114</v>
      </c>
      <c r="J124" s="9">
        <v>9.43333333333333</v>
      </c>
      <c r="K124" s="9" t="s">
        <v>141</v>
      </c>
      <c r="L124" s="9">
        <v>33960.0</v>
      </c>
      <c r="N124" s="9">
        <f t="shared" si="4"/>
        <v>114</v>
      </c>
      <c r="O124" s="9">
        <f t="shared" si="5"/>
        <v>38.539252</v>
      </c>
    </row>
    <row r="125">
      <c r="A125" s="9">
        <f t="shared" si="2"/>
        <v>115</v>
      </c>
      <c r="B125" s="9">
        <v>9.58946857833333</v>
      </c>
      <c r="C125" s="9" t="s">
        <v>142</v>
      </c>
      <c r="D125" s="9">
        <v>34522.0868819999</v>
      </c>
      <c r="E125" s="9">
        <v>152.276794040957</v>
      </c>
      <c r="F125" s="9">
        <f t="shared" si="1"/>
        <v>262.086882</v>
      </c>
      <c r="I125" s="9">
        <f t="shared" si="3"/>
        <v>115</v>
      </c>
      <c r="J125" s="9">
        <v>9.51666666666666</v>
      </c>
      <c r="K125" s="9" t="s">
        <v>142</v>
      </c>
      <c r="L125" s="9">
        <v>34260.0</v>
      </c>
      <c r="N125" s="9">
        <f t="shared" si="4"/>
        <v>115</v>
      </c>
      <c r="O125" s="9">
        <f t="shared" si="5"/>
        <v>0</v>
      </c>
    </row>
    <row r="126">
      <c r="A126" s="9">
        <f t="shared" si="2"/>
        <v>116</v>
      </c>
      <c r="B126" s="9">
        <v>9.64917525111111</v>
      </c>
      <c r="C126" s="9" t="s">
        <v>143</v>
      </c>
      <c r="D126" s="9">
        <v>34737.030904</v>
      </c>
      <c r="E126" s="9">
        <v>299.758194417097</v>
      </c>
      <c r="F126" s="9">
        <f t="shared" si="1"/>
        <v>177.030904</v>
      </c>
      <c r="I126" s="9">
        <f t="shared" si="3"/>
        <v>116</v>
      </c>
      <c r="J126" s="9">
        <v>9.6</v>
      </c>
      <c r="K126" s="9" t="s">
        <v>143</v>
      </c>
      <c r="L126" s="9">
        <v>34560.0</v>
      </c>
      <c r="N126" s="9">
        <f t="shared" si="4"/>
        <v>116</v>
      </c>
      <c r="O126" s="9">
        <f t="shared" si="5"/>
        <v>0</v>
      </c>
    </row>
    <row r="127">
      <c r="A127" s="9">
        <f t="shared" si="2"/>
        <v>117</v>
      </c>
      <c r="B127" s="9">
        <v>9.77646913361111</v>
      </c>
      <c r="C127" s="9" t="s">
        <v>144</v>
      </c>
      <c r="D127" s="9">
        <v>35195.288881</v>
      </c>
      <c r="E127" s="9">
        <v>227.62361907772</v>
      </c>
      <c r="F127" s="9">
        <f t="shared" si="1"/>
        <v>335.288881</v>
      </c>
      <c r="I127" s="9">
        <f t="shared" si="3"/>
        <v>117</v>
      </c>
      <c r="J127" s="9">
        <v>9.68333333333333</v>
      </c>
      <c r="K127" s="9" t="s">
        <v>144</v>
      </c>
      <c r="L127" s="9">
        <v>34860.0</v>
      </c>
      <c r="N127" s="9">
        <f t="shared" si="4"/>
        <v>117</v>
      </c>
      <c r="O127" s="9">
        <f t="shared" si="5"/>
        <v>0</v>
      </c>
    </row>
    <row r="128">
      <c r="A128" s="9">
        <f t="shared" si="2"/>
        <v>118</v>
      </c>
      <c r="B128" s="9">
        <v>9.84082097888888</v>
      </c>
      <c r="C128" s="9" t="s">
        <v>145</v>
      </c>
      <c r="D128" s="9">
        <v>35426.955524</v>
      </c>
      <c r="E128" s="9">
        <v>242.206172793841</v>
      </c>
      <c r="F128" s="9">
        <f t="shared" si="1"/>
        <v>231.666643</v>
      </c>
      <c r="I128" s="9">
        <f t="shared" si="3"/>
        <v>118</v>
      </c>
      <c r="J128" s="9">
        <v>9.76666666666666</v>
      </c>
      <c r="K128" s="9" t="s">
        <v>145</v>
      </c>
      <c r="L128" s="9">
        <v>35160.0</v>
      </c>
      <c r="N128" s="9">
        <f t="shared" si="4"/>
        <v>118</v>
      </c>
      <c r="O128" s="9">
        <f t="shared" si="5"/>
        <v>35.288881</v>
      </c>
      <c r="Q128" s="12"/>
    </row>
    <row r="129">
      <c r="A129" s="9">
        <f t="shared" si="2"/>
        <v>119</v>
      </c>
      <c r="B129" s="9">
        <v>9.89640381888888</v>
      </c>
      <c r="C129" s="9" t="s">
        <v>146</v>
      </c>
      <c r="D129" s="9">
        <v>35627.053748</v>
      </c>
      <c r="E129" s="9">
        <v>74.5810162945407</v>
      </c>
      <c r="F129" s="9">
        <f t="shared" si="1"/>
        <v>167.053748</v>
      </c>
      <c r="I129" s="9">
        <f t="shared" si="3"/>
        <v>119</v>
      </c>
      <c r="J129" s="9">
        <v>9.85</v>
      </c>
      <c r="K129" s="9" t="s">
        <v>146</v>
      </c>
      <c r="L129" s="9">
        <v>35460.0</v>
      </c>
      <c r="N129" s="9">
        <f t="shared" si="4"/>
        <v>119</v>
      </c>
      <c r="O129" s="9">
        <f t="shared" si="5"/>
        <v>0</v>
      </c>
    </row>
    <row r="130">
      <c r="A130" s="9">
        <f t="shared" si="2"/>
        <v>120</v>
      </c>
      <c r="B130" s="9">
        <v>9.98188778194444</v>
      </c>
      <c r="C130" s="9" t="s">
        <v>147</v>
      </c>
      <c r="D130" s="9">
        <v>35934.796015</v>
      </c>
      <c r="E130" s="9">
        <v>285.980147967542</v>
      </c>
      <c r="F130" s="9">
        <f t="shared" si="1"/>
        <v>174.796015</v>
      </c>
      <c r="I130" s="9">
        <f t="shared" si="3"/>
        <v>120</v>
      </c>
      <c r="J130" s="9">
        <v>9.93333333333333</v>
      </c>
      <c r="K130" s="9" t="s">
        <v>147</v>
      </c>
      <c r="L130" s="9">
        <v>35760.0</v>
      </c>
      <c r="N130" s="9">
        <f t="shared" si="4"/>
        <v>120</v>
      </c>
      <c r="O130" s="9">
        <f t="shared" si="5"/>
        <v>0</v>
      </c>
    </row>
    <row r="131">
      <c r="A131" s="9">
        <f t="shared" si="2"/>
        <v>121</v>
      </c>
      <c r="B131" s="9">
        <v>10.0745197763888</v>
      </c>
      <c r="C131" s="9" t="s">
        <v>148</v>
      </c>
      <c r="D131" s="9">
        <v>36268.271195</v>
      </c>
      <c r="E131" s="9">
        <v>260.252695919832</v>
      </c>
      <c r="F131" s="9">
        <f t="shared" si="1"/>
        <v>208.271195</v>
      </c>
      <c r="I131" s="9">
        <f t="shared" si="3"/>
        <v>121</v>
      </c>
      <c r="J131" s="9">
        <v>10.0166666666666</v>
      </c>
      <c r="K131" s="9" t="s">
        <v>148</v>
      </c>
      <c r="L131" s="9">
        <v>36060.0</v>
      </c>
      <c r="N131" s="9">
        <f t="shared" si="4"/>
        <v>121</v>
      </c>
      <c r="O131" s="9">
        <f t="shared" si="5"/>
        <v>0</v>
      </c>
    </row>
    <row r="132">
      <c r="A132" s="9">
        <f t="shared" si="2"/>
        <v>122</v>
      </c>
      <c r="B132" s="9">
        <v>10.1598741961111</v>
      </c>
      <c r="C132" s="9" t="s">
        <v>149</v>
      </c>
      <c r="D132" s="9">
        <v>36575.547106</v>
      </c>
      <c r="E132" s="9">
        <v>125.667416698952</v>
      </c>
      <c r="F132" s="9">
        <f t="shared" si="1"/>
        <v>215.547106</v>
      </c>
      <c r="I132" s="9">
        <f t="shared" si="3"/>
        <v>122</v>
      </c>
      <c r="J132" s="9">
        <v>10.1</v>
      </c>
      <c r="K132" s="9" t="s">
        <v>149</v>
      </c>
      <c r="L132" s="9">
        <v>36360.0</v>
      </c>
      <c r="N132" s="9">
        <f t="shared" si="4"/>
        <v>122</v>
      </c>
      <c r="O132" s="9">
        <f t="shared" si="5"/>
        <v>0</v>
      </c>
    </row>
    <row r="133">
      <c r="A133" s="9">
        <f t="shared" si="2"/>
        <v>123</v>
      </c>
      <c r="B133" s="9">
        <v>10.2322558588888</v>
      </c>
      <c r="C133" s="9" t="s">
        <v>150</v>
      </c>
      <c r="D133" s="9">
        <v>36836.121092</v>
      </c>
      <c r="E133" s="9">
        <v>242.923547736163</v>
      </c>
      <c r="F133" s="9">
        <f t="shared" si="1"/>
        <v>176.121092</v>
      </c>
      <c r="I133" s="9">
        <f t="shared" si="3"/>
        <v>123</v>
      </c>
      <c r="J133" s="9">
        <v>10.1833333333333</v>
      </c>
      <c r="K133" s="9" t="s">
        <v>150</v>
      </c>
      <c r="L133" s="9">
        <v>36660.0</v>
      </c>
      <c r="N133" s="9">
        <f t="shared" si="4"/>
        <v>123</v>
      </c>
      <c r="O133" s="9">
        <f t="shared" si="5"/>
        <v>0</v>
      </c>
    </row>
    <row r="134">
      <c r="A134" s="9">
        <f t="shared" si="2"/>
        <v>124</v>
      </c>
      <c r="B134" s="9">
        <v>10.3323975672222</v>
      </c>
      <c r="C134" s="9" t="s">
        <v>151</v>
      </c>
      <c r="D134" s="9">
        <v>37196.6312419999</v>
      </c>
      <c r="E134" s="9">
        <v>179.018366555528</v>
      </c>
      <c r="F134" s="9">
        <f t="shared" si="1"/>
        <v>236.631242</v>
      </c>
      <c r="I134" s="9">
        <f t="shared" si="3"/>
        <v>124</v>
      </c>
      <c r="J134" s="9">
        <v>10.2666666666666</v>
      </c>
      <c r="K134" s="9" t="s">
        <v>151</v>
      </c>
      <c r="L134" s="9">
        <v>36960.0</v>
      </c>
      <c r="N134" s="9">
        <f t="shared" si="4"/>
        <v>124</v>
      </c>
      <c r="O134" s="9">
        <f t="shared" si="5"/>
        <v>0</v>
      </c>
    </row>
    <row r="135">
      <c r="A135" s="9">
        <f t="shared" si="2"/>
        <v>125</v>
      </c>
      <c r="B135" s="9">
        <v>10.3861557486111</v>
      </c>
      <c r="C135" s="9" t="s">
        <v>152</v>
      </c>
      <c r="D135" s="9">
        <v>37390.160695</v>
      </c>
      <c r="E135" s="9">
        <v>194.385806800662</v>
      </c>
      <c r="F135" s="9">
        <f t="shared" si="1"/>
        <v>130.160695</v>
      </c>
      <c r="I135" s="9">
        <f t="shared" si="3"/>
        <v>125</v>
      </c>
      <c r="J135" s="9">
        <v>10.35</v>
      </c>
      <c r="K135" s="9" t="s">
        <v>152</v>
      </c>
      <c r="L135" s="9">
        <v>37260.0</v>
      </c>
      <c r="N135" s="9">
        <f t="shared" si="4"/>
        <v>125</v>
      </c>
      <c r="O135" s="9">
        <f t="shared" si="5"/>
        <v>0</v>
      </c>
    </row>
    <row r="136">
      <c r="A136" s="9">
        <f t="shared" si="2"/>
        <v>126</v>
      </c>
      <c r="B136" s="9">
        <v>10.5082996463888</v>
      </c>
      <c r="C136" s="9" t="s">
        <v>153</v>
      </c>
      <c r="D136" s="9">
        <v>37829.8787269999</v>
      </c>
      <c r="E136" s="9">
        <v>240.400665173802</v>
      </c>
      <c r="F136" s="9">
        <f t="shared" si="1"/>
        <v>269.878727</v>
      </c>
      <c r="I136" s="9">
        <f t="shared" si="3"/>
        <v>126</v>
      </c>
      <c r="J136" s="9">
        <v>10.4333333333333</v>
      </c>
      <c r="K136" s="9" t="s">
        <v>153</v>
      </c>
      <c r="L136" s="9">
        <v>37560.0</v>
      </c>
      <c r="N136" s="9">
        <f t="shared" si="4"/>
        <v>126</v>
      </c>
      <c r="O136" s="9">
        <f t="shared" si="5"/>
        <v>0</v>
      </c>
    </row>
    <row r="137">
      <c r="A137" s="9">
        <f t="shared" si="2"/>
        <v>127</v>
      </c>
      <c r="B137" s="9">
        <v>10.6039388041666</v>
      </c>
      <c r="C137" s="9" t="s">
        <v>154</v>
      </c>
      <c r="D137" s="9">
        <v>38174.179695</v>
      </c>
      <c r="E137" s="9">
        <v>247.110357804489</v>
      </c>
      <c r="F137" s="9">
        <f t="shared" si="1"/>
        <v>314.179695</v>
      </c>
      <c r="I137" s="9">
        <f t="shared" si="3"/>
        <v>127</v>
      </c>
      <c r="J137" s="9">
        <v>10.5166666666666</v>
      </c>
      <c r="K137" s="9" t="s">
        <v>154</v>
      </c>
      <c r="L137" s="9">
        <v>37860.0</v>
      </c>
      <c r="N137" s="9">
        <f t="shared" si="4"/>
        <v>127</v>
      </c>
      <c r="O137" s="9">
        <f t="shared" si="5"/>
        <v>0</v>
      </c>
    </row>
    <row r="138">
      <c r="A138" s="9">
        <f t="shared" si="2"/>
        <v>128</v>
      </c>
      <c r="B138" s="9">
        <v>10.6654995569444</v>
      </c>
      <c r="C138" s="9" t="s">
        <v>155</v>
      </c>
      <c r="D138" s="9">
        <v>38395.798405</v>
      </c>
      <c r="E138" s="9">
        <v>209.269507093647</v>
      </c>
      <c r="F138" s="9">
        <f t="shared" si="1"/>
        <v>221.61871</v>
      </c>
      <c r="I138" s="9">
        <f t="shared" si="3"/>
        <v>128</v>
      </c>
      <c r="J138" s="9">
        <v>10.6</v>
      </c>
      <c r="K138" s="9" t="s">
        <v>155</v>
      </c>
      <c r="L138" s="9">
        <v>38160.0</v>
      </c>
      <c r="N138" s="9">
        <f t="shared" si="4"/>
        <v>128</v>
      </c>
      <c r="O138" s="9">
        <f t="shared" si="5"/>
        <v>14.179695</v>
      </c>
      <c r="Q138" s="12"/>
    </row>
    <row r="139">
      <c r="A139" s="9">
        <f t="shared" si="2"/>
        <v>129</v>
      </c>
      <c r="B139" s="9">
        <v>10.7440451702777</v>
      </c>
      <c r="C139" s="9" t="s">
        <v>156</v>
      </c>
      <c r="D139" s="9">
        <v>38678.562613</v>
      </c>
      <c r="E139" s="9">
        <v>157.079411875936</v>
      </c>
      <c r="F139" s="9">
        <f t="shared" si="1"/>
        <v>218.562613</v>
      </c>
      <c r="I139" s="9">
        <f t="shared" si="3"/>
        <v>129</v>
      </c>
      <c r="J139" s="9">
        <v>10.6833333333333</v>
      </c>
      <c r="K139" s="9" t="s">
        <v>156</v>
      </c>
      <c r="L139" s="9">
        <v>38460.0</v>
      </c>
      <c r="N139" s="9">
        <f t="shared" si="4"/>
        <v>129</v>
      </c>
      <c r="O139" s="9">
        <f t="shared" si="5"/>
        <v>0</v>
      </c>
    </row>
    <row r="140">
      <c r="A140" s="9">
        <f t="shared" si="2"/>
        <v>130</v>
      </c>
      <c r="B140" s="9">
        <v>10.8447582547222</v>
      </c>
      <c r="C140" s="9" t="s">
        <v>157</v>
      </c>
      <c r="D140" s="9">
        <v>39041.1297169999</v>
      </c>
      <c r="E140" s="9">
        <v>237.878433967101</v>
      </c>
      <c r="F140" s="9">
        <f t="shared" si="1"/>
        <v>281.129717</v>
      </c>
      <c r="I140" s="9">
        <f t="shared" si="3"/>
        <v>130</v>
      </c>
      <c r="J140" s="9">
        <v>10.7666666666666</v>
      </c>
      <c r="K140" s="9" t="s">
        <v>157</v>
      </c>
      <c r="L140" s="9">
        <v>38760.0</v>
      </c>
      <c r="N140" s="9">
        <f t="shared" si="4"/>
        <v>130</v>
      </c>
      <c r="O140" s="9">
        <f t="shared" si="5"/>
        <v>0</v>
      </c>
    </row>
    <row r="141">
      <c r="A141" s="9">
        <f t="shared" si="2"/>
        <v>131</v>
      </c>
      <c r="B141" s="9">
        <v>10.9282880138888</v>
      </c>
      <c r="C141" s="9" t="s">
        <v>158</v>
      </c>
      <c r="D141" s="9">
        <v>39341.83685</v>
      </c>
      <c r="E141" s="9">
        <v>116.931566505367</v>
      </c>
      <c r="F141" s="9">
        <f t="shared" si="1"/>
        <v>281.83685</v>
      </c>
      <c r="I141" s="9">
        <f t="shared" si="3"/>
        <v>131</v>
      </c>
      <c r="J141" s="9">
        <v>10.85</v>
      </c>
      <c r="K141" s="9" t="s">
        <v>158</v>
      </c>
      <c r="L141" s="9">
        <v>39060.0</v>
      </c>
      <c r="N141" s="9">
        <f t="shared" si="4"/>
        <v>131</v>
      </c>
      <c r="O141" s="9">
        <f t="shared" si="5"/>
        <v>0</v>
      </c>
    </row>
    <row r="142">
      <c r="A142" s="9">
        <f t="shared" si="2"/>
        <v>132</v>
      </c>
      <c r="B142" s="9">
        <v>11.0004476105555</v>
      </c>
      <c r="C142" s="9" t="s">
        <v>159</v>
      </c>
      <c r="D142" s="9">
        <v>39601.611398</v>
      </c>
      <c r="E142" s="9">
        <v>170.955372117992</v>
      </c>
      <c r="F142" s="9">
        <f t="shared" si="1"/>
        <v>241.611398</v>
      </c>
      <c r="I142" s="9">
        <f t="shared" si="3"/>
        <v>132</v>
      </c>
      <c r="J142" s="9">
        <v>10.9333333333333</v>
      </c>
      <c r="K142" s="9" t="s">
        <v>159</v>
      </c>
      <c r="L142" s="9">
        <v>39360.0</v>
      </c>
      <c r="N142" s="9">
        <f t="shared" si="4"/>
        <v>132</v>
      </c>
      <c r="O142" s="9">
        <f t="shared" si="5"/>
        <v>0</v>
      </c>
    </row>
    <row r="143">
      <c r="A143" s="9">
        <f t="shared" si="2"/>
        <v>133</v>
      </c>
      <c r="B143" s="9">
        <v>11.0635349880555</v>
      </c>
      <c r="C143" s="9" t="s">
        <v>160</v>
      </c>
      <c r="D143" s="9">
        <v>39828.7259569999</v>
      </c>
      <c r="E143" s="9">
        <v>218.823641566121</v>
      </c>
      <c r="F143" s="9">
        <f t="shared" si="1"/>
        <v>168.725957</v>
      </c>
      <c r="I143" s="9">
        <f t="shared" si="3"/>
        <v>133</v>
      </c>
      <c r="J143" s="9">
        <v>11.0166666666666</v>
      </c>
      <c r="K143" s="9" t="s">
        <v>160</v>
      </c>
      <c r="L143" s="9">
        <v>39660.0</v>
      </c>
      <c r="N143" s="9">
        <f t="shared" si="4"/>
        <v>133</v>
      </c>
      <c r="O143" s="9">
        <f t="shared" si="5"/>
        <v>0</v>
      </c>
    </row>
    <row r="144">
      <c r="A144" s="9">
        <f t="shared" si="2"/>
        <v>134</v>
      </c>
      <c r="B144" s="9">
        <v>11.1545357955555</v>
      </c>
      <c r="C144" s="9" t="s">
        <v>161</v>
      </c>
      <c r="D144" s="9">
        <v>40156.3288639999</v>
      </c>
      <c r="E144" s="9">
        <v>161.058481727639</v>
      </c>
      <c r="F144" s="9">
        <f t="shared" si="1"/>
        <v>196.328864</v>
      </c>
      <c r="I144" s="9">
        <f t="shared" si="3"/>
        <v>134</v>
      </c>
      <c r="J144" s="9">
        <v>11.1</v>
      </c>
      <c r="K144" s="9" t="s">
        <v>161</v>
      </c>
      <c r="L144" s="9">
        <v>39960.0</v>
      </c>
      <c r="N144" s="9">
        <f t="shared" si="4"/>
        <v>134</v>
      </c>
      <c r="O144" s="9">
        <f t="shared" si="5"/>
        <v>0</v>
      </c>
    </row>
    <row r="145">
      <c r="A145" s="9">
        <f t="shared" si="2"/>
        <v>135</v>
      </c>
      <c r="B145" s="9">
        <v>11.2200191944444</v>
      </c>
      <c r="C145" s="9" t="s">
        <v>162</v>
      </c>
      <c r="D145" s="9">
        <v>40392.0691</v>
      </c>
      <c r="E145" s="9">
        <v>311.127131054285</v>
      </c>
      <c r="F145" s="9">
        <f t="shared" si="1"/>
        <v>132.0691</v>
      </c>
      <c r="I145" s="9">
        <f t="shared" si="3"/>
        <v>135</v>
      </c>
      <c r="J145" s="9">
        <v>11.1833333333333</v>
      </c>
      <c r="K145" s="9" t="s">
        <v>162</v>
      </c>
      <c r="L145" s="9">
        <v>40260.0</v>
      </c>
      <c r="N145" s="9">
        <f t="shared" si="4"/>
        <v>135</v>
      </c>
      <c r="O145" s="9">
        <f t="shared" si="5"/>
        <v>0</v>
      </c>
    </row>
    <row r="146">
      <c r="A146" s="9">
        <f t="shared" si="2"/>
        <v>136</v>
      </c>
      <c r="B146" s="9">
        <v>11.3779274608333</v>
      </c>
      <c r="C146" s="9" t="s">
        <v>163</v>
      </c>
      <c r="D146" s="9">
        <v>40960.538859</v>
      </c>
      <c r="E146" s="9">
        <v>158.069161811308</v>
      </c>
      <c r="F146" s="9">
        <f t="shared" si="1"/>
        <v>400.538859</v>
      </c>
      <c r="I146" s="9">
        <f t="shared" si="3"/>
        <v>136</v>
      </c>
      <c r="J146" s="9">
        <v>11.2666666666666</v>
      </c>
      <c r="K146" s="9" t="s">
        <v>163</v>
      </c>
      <c r="L146" s="9">
        <v>40560.0</v>
      </c>
      <c r="N146" s="9">
        <f t="shared" si="4"/>
        <v>136</v>
      </c>
      <c r="O146" s="9">
        <f t="shared" si="5"/>
        <v>0</v>
      </c>
    </row>
    <row r="147">
      <c r="A147" s="9">
        <f t="shared" si="2"/>
        <v>137</v>
      </c>
      <c r="B147" s="9">
        <v>11.4457845986111</v>
      </c>
      <c r="C147" s="9" t="s">
        <v>164</v>
      </c>
      <c r="D147" s="9">
        <v>41204.824555</v>
      </c>
      <c r="E147" s="9">
        <v>275.181238984308</v>
      </c>
      <c r="F147" s="9">
        <f t="shared" si="1"/>
        <v>244.285696</v>
      </c>
      <c r="I147" s="9">
        <f t="shared" si="3"/>
        <v>137</v>
      </c>
      <c r="J147" s="9">
        <v>11.35</v>
      </c>
      <c r="K147" s="9" t="s">
        <v>164</v>
      </c>
      <c r="L147" s="9">
        <v>40860.0</v>
      </c>
      <c r="N147" s="9">
        <f t="shared" si="4"/>
        <v>137</v>
      </c>
      <c r="O147" s="9">
        <f t="shared" si="5"/>
        <v>100.538859</v>
      </c>
      <c r="Q147" s="12"/>
    </row>
    <row r="148">
      <c r="A148" s="9">
        <f t="shared" si="2"/>
        <v>138</v>
      </c>
      <c r="B148" s="9">
        <v>11.4910552155555</v>
      </c>
      <c r="C148" s="9" t="s">
        <v>165</v>
      </c>
      <c r="D148" s="9">
        <v>41367.7987759999</v>
      </c>
      <c r="E148" s="9">
        <v>209.776514300072</v>
      </c>
      <c r="F148" s="9">
        <f t="shared" si="1"/>
        <v>162.974221</v>
      </c>
      <c r="I148" s="9">
        <f t="shared" si="3"/>
        <v>138</v>
      </c>
      <c r="J148" s="9">
        <v>11.4333333333333</v>
      </c>
      <c r="K148" s="9" t="s">
        <v>165</v>
      </c>
      <c r="L148" s="9">
        <v>41160.0</v>
      </c>
      <c r="N148" s="9">
        <f t="shared" si="4"/>
        <v>138</v>
      </c>
      <c r="O148" s="9">
        <f t="shared" si="5"/>
        <v>44.824555</v>
      </c>
    </row>
    <row r="149">
      <c r="A149" s="9">
        <f t="shared" si="2"/>
        <v>139</v>
      </c>
      <c r="B149" s="9">
        <v>11.5865342363888</v>
      </c>
      <c r="C149" s="9" t="s">
        <v>166</v>
      </c>
      <c r="D149" s="9">
        <v>41711.523251</v>
      </c>
      <c r="E149" s="9">
        <v>191.381647647179</v>
      </c>
      <c r="F149" s="9">
        <f t="shared" si="1"/>
        <v>251.523251</v>
      </c>
      <c r="I149" s="9">
        <f t="shared" si="3"/>
        <v>139</v>
      </c>
      <c r="J149" s="9">
        <v>11.5166666666666</v>
      </c>
      <c r="K149" s="9" t="s">
        <v>166</v>
      </c>
      <c r="L149" s="9">
        <v>41460.0</v>
      </c>
      <c r="N149" s="9">
        <f t="shared" si="4"/>
        <v>139</v>
      </c>
      <c r="O149" s="9">
        <f t="shared" si="5"/>
        <v>0</v>
      </c>
    </row>
    <row r="150">
      <c r="A150" s="9">
        <f t="shared" si="2"/>
        <v>140</v>
      </c>
      <c r="B150" s="9">
        <v>11.68232384</v>
      </c>
      <c r="C150" s="9" t="s">
        <v>167</v>
      </c>
      <c r="D150" s="9">
        <v>42056.365824</v>
      </c>
      <c r="E150" s="9">
        <v>253.595994538783</v>
      </c>
      <c r="F150" s="9">
        <f t="shared" si="1"/>
        <v>296.365824</v>
      </c>
      <c r="I150" s="9">
        <f t="shared" si="3"/>
        <v>140</v>
      </c>
      <c r="J150" s="9">
        <v>11.6</v>
      </c>
      <c r="K150" s="9" t="s">
        <v>167</v>
      </c>
      <c r="L150" s="9">
        <v>41760.0</v>
      </c>
      <c r="N150" s="9">
        <f t="shared" si="4"/>
        <v>140</v>
      </c>
      <c r="O150" s="9">
        <f t="shared" si="5"/>
        <v>0</v>
      </c>
    </row>
    <row r="151">
      <c r="A151" s="9">
        <f t="shared" si="2"/>
        <v>141</v>
      </c>
      <c r="B151" s="9">
        <v>11.7362900666666</v>
      </c>
      <c r="C151" s="9" t="s">
        <v>168</v>
      </c>
      <c r="D151" s="9">
        <v>42250.64424</v>
      </c>
      <c r="E151" s="9">
        <v>224.346344571217</v>
      </c>
      <c r="F151" s="9">
        <f t="shared" si="1"/>
        <v>190.64424</v>
      </c>
      <c r="I151" s="9">
        <f t="shared" si="3"/>
        <v>141</v>
      </c>
      <c r="J151" s="9">
        <v>11.6833333333333</v>
      </c>
      <c r="K151" s="9" t="s">
        <v>168</v>
      </c>
      <c r="L151" s="9">
        <v>42060.0</v>
      </c>
      <c r="N151" s="9">
        <f t="shared" si="4"/>
        <v>141</v>
      </c>
      <c r="O151" s="9">
        <f t="shared" si="5"/>
        <v>0</v>
      </c>
    </row>
    <row r="152">
      <c r="A152" s="9">
        <f t="shared" si="2"/>
        <v>142</v>
      </c>
      <c r="B152" s="9">
        <v>11.8554291816666</v>
      </c>
      <c r="C152" s="9" t="s">
        <v>169</v>
      </c>
      <c r="D152" s="9">
        <v>42679.5450539999</v>
      </c>
      <c r="E152" s="9">
        <v>324.019217772025</v>
      </c>
      <c r="F152" s="9">
        <f t="shared" si="1"/>
        <v>319.545054</v>
      </c>
      <c r="I152" s="9">
        <f t="shared" si="3"/>
        <v>142</v>
      </c>
      <c r="J152" s="9">
        <v>11.7666666666666</v>
      </c>
      <c r="K152" s="9" t="s">
        <v>169</v>
      </c>
      <c r="L152" s="9">
        <v>42360.0</v>
      </c>
      <c r="N152" s="9">
        <f t="shared" si="4"/>
        <v>142</v>
      </c>
      <c r="O152" s="9">
        <f t="shared" si="5"/>
        <v>0</v>
      </c>
    </row>
    <row r="153">
      <c r="A153" s="9">
        <f t="shared" si="2"/>
        <v>143</v>
      </c>
      <c r="B153" s="9">
        <v>11.9166897475</v>
      </c>
      <c r="C153" s="9" t="s">
        <v>170</v>
      </c>
      <c r="D153" s="9">
        <v>42900.083091</v>
      </c>
      <c r="E153" s="9">
        <v>296.500916469818</v>
      </c>
      <c r="F153" s="9">
        <f t="shared" si="1"/>
        <v>220.538037</v>
      </c>
      <c r="I153" s="9">
        <f t="shared" si="3"/>
        <v>143</v>
      </c>
      <c r="J153" s="9">
        <v>11.85</v>
      </c>
      <c r="K153" s="9" t="s">
        <v>170</v>
      </c>
      <c r="L153" s="9">
        <v>42660.0</v>
      </c>
      <c r="N153" s="9">
        <f t="shared" si="4"/>
        <v>143</v>
      </c>
      <c r="O153" s="9">
        <f t="shared" si="5"/>
        <v>19.545054</v>
      </c>
      <c r="Q153" s="12"/>
    </row>
    <row r="154">
      <c r="A154" s="9">
        <f t="shared" si="2"/>
        <v>144</v>
      </c>
      <c r="B154" s="9">
        <v>11.9798708122222</v>
      </c>
      <c r="C154" s="9" t="s">
        <v>171</v>
      </c>
      <c r="D154" s="9">
        <v>43127.534924</v>
      </c>
      <c r="E154" s="9">
        <v>241.419071541737</v>
      </c>
      <c r="F154" s="9">
        <f t="shared" si="1"/>
        <v>167.534924</v>
      </c>
      <c r="I154" s="9">
        <f t="shared" si="3"/>
        <v>144</v>
      </c>
      <c r="J154" s="9">
        <v>11.9333333333333</v>
      </c>
      <c r="K154" s="9" t="s">
        <v>171</v>
      </c>
      <c r="L154" s="9">
        <v>42960.0</v>
      </c>
      <c r="N154" s="9">
        <f t="shared" si="4"/>
        <v>144</v>
      </c>
      <c r="O154" s="9">
        <f t="shared" si="5"/>
        <v>0</v>
      </c>
    </row>
    <row r="156">
      <c r="A156" s="28" t="s">
        <v>172</v>
      </c>
      <c r="B156" s="19"/>
      <c r="C156" s="29">
        <f>A154</f>
        <v>144</v>
      </c>
      <c r="E156" s="30" t="s">
        <v>173</v>
      </c>
      <c r="F156" s="31">
        <f>SUM(F11:F154)</f>
        <v>33436.98726</v>
      </c>
      <c r="G156" s="31" t="s">
        <v>174</v>
      </c>
      <c r="N156" s="20" t="s">
        <v>175</v>
      </c>
      <c r="O156" s="16">
        <f>SUM(O11:O154)</f>
        <v>1140.068766</v>
      </c>
      <c r="P156" s="16" t="s">
        <v>174</v>
      </c>
    </row>
    <row r="157">
      <c r="A157" s="32"/>
      <c r="B157" s="33"/>
      <c r="C157" s="34"/>
      <c r="E157" s="34"/>
      <c r="F157" s="31">
        <f t="shared" ref="F157:F158" si="10">F156/60</f>
        <v>557.283121</v>
      </c>
      <c r="G157" s="31" t="s">
        <v>176</v>
      </c>
      <c r="N157" s="34"/>
      <c r="O157" s="16">
        <f t="shared" ref="O157:O158" si="11">O156/60</f>
        <v>19.0011461</v>
      </c>
      <c r="P157" s="16" t="s">
        <v>176</v>
      </c>
    </row>
    <row r="158">
      <c r="A158" s="21"/>
      <c r="B158" s="23"/>
      <c r="C158" s="10"/>
      <c r="E158" s="10"/>
      <c r="F158" s="31">
        <f t="shared" si="10"/>
        <v>9.288052017</v>
      </c>
      <c r="G158" s="31" t="s">
        <v>177</v>
      </c>
      <c r="N158" s="10"/>
      <c r="O158" s="16">
        <f t="shared" si="11"/>
        <v>0.3166857683</v>
      </c>
      <c r="P158" s="16" t="s">
        <v>177</v>
      </c>
    </row>
    <row r="160">
      <c r="A160" s="35" t="s">
        <v>178</v>
      </c>
      <c r="B160" s="18"/>
      <c r="C160" s="19"/>
      <c r="E160" s="30" t="s">
        <v>179</v>
      </c>
      <c r="F160" s="31">
        <f>average(F11:F154)</f>
        <v>232.2013004</v>
      </c>
      <c r="G160" s="31" t="s">
        <v>174</v>
      </c>
      <c r="N160" s="20" t="s">
        <v>180</v>
      </c>
      <c r="O160" s="16">
        <f>AVERAGE(O11:O154)</f>
        <v>7.917144208</v>
      </c>
      <c r="P160" s="16" t="s">
        <v>174</v>
      </c>
    </row>
    <row r="161">
      <c r="A161" s="21"/>
      <c r="B161" s="22"/>
      <c r="C161" s="23"/>
      <c r="E161" s="34"/>
      <c r="F161" s="31">
        <f t="shared" ref="F161:F162" si="12">F160/60</f>
        <v>3.870021674</v>
      </c>
      <c r="G161" s="31" t="s">
        <v>176</v>
      </c>
      <c r="N161" s="34"/>
      <c r="O161" s="16">
        <f t="shared" ref="O161:O162" si="13">O160/60</f>
        <v>0.1319524035</v>
      </c>
      <c r="P161" s="16" t="s">
        <v>176</v>
      </c>
    </row>
    <row r="162">
      <c r="A162" s="36" t="s">
        <v>181</v>
      </c>
      <c r="B162" s="18"/>
      <c r="C162" s="19"/>
      <c r="E162" s="10"/>
      <c r="F162" s="31">
        <f t="shared" si="12"/>
        <v>0.06450036123</v>
      </c>
      <c r="G162" s="31" t="s">
        <v>177</v>
      </c>
      <c r="N162" s="10"/>
      <c r="O162" s="16">
        <f t="shared" si="13"/>
        <v>0.002199206725</v>
      </c>
      <c r="P162" s="16" t="s">
        <v>177</v>
      </c>
    </row>
    <row r="163">
      <c r="A163" s="21"/>
      <c r="B163" s="22"/>
      <c r="C163" s="23"/>
    </row>
  </sheetData>
  <mergeCells count="35">
    <mergeCell ref="A9:F9"/>
    <mergeCell ref="I9:L9"/>
    <mergeCell ref="N9:O9"/>
    <mergeCell ref="R9:W9"/>
    <mergeCell ref="R10:R11"/>
    <mergeCell ref="S10:T10"/>
    <mergeCell ref="U10:U11"/>
    <mergeCell ref="V10:V11"/>
    <mergeCell ref="W10:W11"/>
    <mergeCell ref="R64:V64"/>
    <mergeCell ref="R65:V66"/>
    <mergeCell ref="W65:W66"/>
    <mergeCell ref="R69:W69"/>
    <mergeCell ref="R70:W70"/>
    <mergeCell ref="R71:W71"/>
    <mergeCell ref="R72:W72"/>
    <mergeCell ref="R73:W73"/>
    <mergeCell ref="R74:W74"/>
    <mergeCell ref="R75:W75"/>
    <mergeCell ref="R76:U76"/>
    <mergeCell ref="V76:W76"/>
    <mergeCell ref="C156:C158"/>
    <mergeCell ref="E156:E158"/>
    <mergeCell ref="A160:C161"/>
    <mergeCell ref="E160:E162"/>
    <mergeCell ref="N160:N162"/>
    <mergeCell ref="A162:C163"/>
    <mergeCell ref="R77:U77"/>
    <mergeCell ref="V77:W77"/>
    <mergeCell ref="R78:U78"/>
    <mergeCell ref="V78:W78"/>
    <mergeCell ref="R79:U80"/>
    <mergeCell ref="V79:W80"/>
    <mergeCell ref="A156:B158"/>
    <mergeCell ref="N156:N158"/>
  </mergeCells>
  <hyperlinks>
    <hyperlink r:id="rId1" ref="A16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>
      <c r="A7" s="12" t="s">
        <v>182</v>
      </c>
      <c r="G7" s="12" t="s">
        <v>183</v>
      </c>
      <c r="L7" s="12" t="s">
        <v>184</v>
      </c>
    </row>
    <row r="8">
      <c r="A8" s="12" t="s">
        <v>5</v>
      </c>
      <c r="B8" s="12" t="s">
        <v>6</v>
      </c>
      <c r="C8" s="12" t="s">
        <v>7</v>
      </c>
      <c r="D8" s="12" t="s">
        <v>185</v>
      </c>
      <c r="G8" s="12" t="s">
        <v>5</v>
      </c>
      <c r="H8" s="12" t="s">
        <v>6</v>
      </c>
      <c r="I8" s="12" t="s">
        <v>7</v>
      </c>
      <c r="L8" s="12" t="s">
        <v>174</v>
      </c>
      <c r="N8" s="12" t="s">
        <v>186</v>
      </c>
      <c r="O8" s="9" t="s">
        <v>187</v>
      </c>
      <c r="P8" s="9"/>
      <c r="R8" s="12" t="s">
        <v>188</v>
      </c>
    </row>
    <row r="9">
      <c r="A9" s="12">
        <v>0.0583333333333333</v>
      </c>
      <c r="B9" s="12" t="s">
        <v>189</v>
      </c>
      <c r="C9" s="12">
        <v>210.0</v>
      </c>
      <c r="D9" s="12">
        <v>180.0</v>
      </c>
      <c r="G9" s="12">
        <v>0.00833333333333333</v>
      </c>
      <c r="H9" s="12" t="s">
        <v>189</v>
      </c>
      <c r="I9" s="12">
        <v>30.0</v>
      </c>
      <c r="K9" s="12">
        <v>1.0</v>
      </c>
      <c r="L9" s="12">
        <f t="shared" ref="L9:L174" si="1">C9-D9-I9</f>
        <v>0</v>
      </c>
      <c r="N9" s="12">
        <f>sum(L9:L125)</f>
        <v>310466.1936</v>
      </c>
      <c r="O9" s="9">
        <f>N9/117</f>
        <v>2653.557211</v>
      </c>
      <c r="P9" s="9" t="s">
        <v>190</v>
      </c>
      <c r="R9" s="12" t="s">
        <v>191</v>
      </c>
    </row>
    <row r="10">
      <c r="A10" s="12">
        <v>0.108333333333333</v>
      </c>
      <c r="B10" s="12" t="s">
        <v>192</v>
      </c>
      <c r="C10" s="12">
        <v>390.0</v>
      </c>
      <c r="D10" s="12">
        <v>180.0</v>
      </c>
      <c r="G10" s="12">
        <v>0.0111654313888888</v>
      </c>
      <c r="H10" s="12" t="s">
        <v>192</v>
      </c>
      <c r="I10" s="12">
        <v>40.195553</v>
      </c>
      <c r="K10" s="12">
        <v>2.0</v>
      </c>
      <c r="L10" s="12">
        <f t="shared" si="1"/>
        <v>169.804447</v>
      </c>
      <c r="O10" s="9">
        <f t="shared" ref="O10:O11" si="2">O9/60</f>
        <v>44.22595351</v>
      </c>
      <c r="P10" s="9" t="s">
        <v>176</v>
      </c>
      <c r="R10" s="12" t="s">
        <v>193</v>
      </c>
    </row>
    <row r="11">
      <c r="A11" s="12">
        <v>0.158333333333333</v>
      </c>
      <c r="B11" s="12" t="s">
        <v>194</v>
      </c>
      <c r="C11" s="12">
        <v>570.0</v>
      </c>
      <c r="D11" s="12">
        <v>180.0</v>
      </c>
      <c r="G11" s="12">
        <v>0.0367497533333333</v>
      </c>
      <c r="H11" s="12" t="s">
        <v>194</v>
      </c>
      <c r="I11" s="12">
        <v>132.299112</v>
      </c>
      <c r="K11" s="12">
        <f t="shared" ref="K11:K174" si="3">K10+1</f>
        <v>3</v>
      </c>
      <c r="L11" s="12">
        <f t="shared" si="1"/>
        <v>257.700888</v>
      </c>
      <c r="O11" s="9">
        <f t="shared" si="2"/>
        <v>0.7370992252</v>
      </c>
      <c r="P11" s="9" t="s">
        <v>195</v>
      </c>
      <c r="R11" s="12" t="s">
        <v>196</v>
      </c>
      <c r="S11" s="12" t="s">
        <v>197</v>
      </c>
      <c r="T11" s="12" t="s">
        <v>198</v>
      </c>
    </row>
    <row r="12">
      <c r="A12" s="12">
        <v>0.208333333333333</v>
      </c>
      <c r="B12" s="12" t="s">
        <v>199</v>
      </c>
      <c r="C12" s="12">
        <v>750.0</v>
      </c>
      <c r="D12" s="12">
        <v>180.0</v>
      </c>
      <c r="G12" s="12">
        <v>0.102408420277777</v>
      </c>
      <c r="H12" s="12" t="s">
        <v>199</v>
      </c>
      <c r="I12" s="12">
        <v>368.670312999999</v>
      </c>
      <c r="K12" s="12">
        <f t="shared" si="3"/>
        <v>4</v>
      </c>
      <c r="L12" s="12">
        <f t="shared" si="1"/>
        <v>201.329687</v>
      </c>
      <c r="R12" s="12" t="s">
        <v>200</v>
      </c>
      <c r="S12" s="12">
        <f>166/21600</f>
        <v>0.007685185185</v>
      </c>
    </row>
    <row r="13">
      <c r="A13" s="12">
        <v>0.258333333333333</v>
      </c>
      <c r="B13" s="12" t="s">
        <v>201</v>
      </c>
      <c r="C13" s="12">
        <v>930.0</v>
      </c>
      <c r="D13" s="12">
        <v>180.0</v>
      </c>
      <c r="G13" s="12">
        <v>0.103081946111111</v>
      </c>
      <c r="H13" s="12" t="s">
        <v>201</v>
      </c>
      <c r="I13" s="12">
        <v>371.095005999999</v>
      </c>
      <c r="K13" s="12">
        <f t="shared" si="3"/>
        <v>5</v>
      </c>
      <c r="L13" s="12">
        <f t="shared" si="1"/>
        <v>378.904994</v>
      </c>
      <c r="O13" s="12">
        <v>0.784607</v>
      </c>
      <c r="R13" s="12" t="s">
        <v>202</v>
      </c>
      <c r="S13" s="12">
        <f>S12*O9</f>
        <v>20.39307856</v>
      </c>
    </row>
    <row r="14">
      <c r="A14" s="12">
        <v>0.308333333333333</v>
      </c>
      <c r="B14" s="12" t="s">
        <v>203</v>
      </c>
      <c r="C14" s="12">
        <v>1110.0</v>
      </c>
      <c r="D14" s="12">
        <v>180.0</v>
      </c>
      <c r="G14" s="12">
        <v>0.148986750833333</v>
      </c>
      <c r="H14" s="12" t="s">
        <v>203</v>
      </c>
      <c r="I14" s="12">
        <v>536.352303</v>
      </c>
      <c r="K14" s="12">
        <f t="shared" si="3"/>
        <v>6</v>
      </c>
      <c r="L14" s="12">
        <f t="shared" si="1"/>
        <v>393.647697</v>
      </c>
      <c r="O14" s="12">
        <f>(O13 * 3600)</f>
        <v>2824.5852</v>
      </c>
    </row>
    <row r="15">
      <c r="A15" s="12">
        <v>0.358333333333333</v>
      </c>
      <c r="B15" s="12" t="s">
        <v>204</v>
      </c>
      <c r="C15" s="12">
        <v>1290.0</v>
      </c>
      <c r="D15" s="12">
        <v>180.0</v>
      </c>
      <c r="G15" s="12">
        <v>0.175698084444444</v>
      </c>
      <c r="H15" s="12" t="s">
        <v>204</v>
      </c>
      <c r="I15" s="12">
        <v>632.513104</v>
      </c>
      <c r="K15" s="12">
        <f t="shared" si="3"/>
        <v>7</v>
      </c>
      <c r="L15" s="12">
        <f t="shared" si="1"/>
        <v>477.486896</v>
      </c>
      <c r="S15" s="12">
        <v>21.7075</v>
      </c>
    </row>
    <row r="16">
      <c r="A16" s="12">
        <v>0.408333333333333</v>
      </c>
      <c r="B16" s="12" t="s">
        <v>205</v>
      </c>
      <c r="C16" s="12">
        <v>1470.0</v>
      </c>
      <c r="D16" s="12">
        <v>180.0</v>
      </c>
      <c r="G16" s="12">
        <v>0.224627400555555</v>
      </c>
      <c r="H16" s="12" t="s">
        <v>205</v>
      </c>
      <c r="I16" s="12">
        <v>808.658642</v>
      </c>
      <c r="K16" s="12">
        <f t="shared" si="3"/>
        <v>8</v>
      </c>
      <c r="L16" s="12">
        <f t="shared" si="1"/>
        <v>481.341358</v>
      </c>
      <c r="N16" s="12">
        <f>sum(L9:L126)</f>
        <v>316132.4274</v>
      </c>
      <c r="O16" s="12">
        <f>N16/117</f>
        <v>2701.986559</v>
      </c>
    </row>
    <row r="17">
      <c r="A17" s="12">
        <v>0.458333333333333</v>
      </c>
      <c r="B17" s="12" t="s">
        <v>206</v>
      </c>
      <c r="C17" s="12">
        <v>1650.0</v>
      </c>
      <c r="D17" s="12">
        <v>180.0</v>
      </c>
      <c r="G17" s="12">
        <v>0.307180978888888</v>
      </c>
      <c r="H17" s="12" t="s">
        <v>206</v>
      </c>
      <c r="I17" s="12">
        <v>1105.851524</v>
      </c>
      <c r="K17" s="12">
        <f t="shared" si="3"/>
        <v>9</v>
      </c>
      <c r="L17" s="12">
        <f t="shared" si="1"/>
        <v>364.148476</v>
      </c>
    </row>
    <row r="18">
      <c r="A18" s="12">
        <v>0.508333333333333</v>
      </c>
      <c r="B18" s="12" t="s">
        <v>207</v>
      </c>
      <c r="C18" s="12">
        <v>1830.0</v>
      </c>
      <c r="D18" s="12">
        <v>180.0</v>
      </c>
      <c r="G18" s="12">
        <v>0.329554191944444</v>
      </c>
      <c r="H18" s="12" t="s">
        <v>207</v>
      </c>
      <c r="I18" s="12">
        <v>1186.39509099999</v>
      </c>
      <c r="K18" s="12">
        <f t="shared" si="3"/>
        <v>10</v>
      </c>
      <c r="L18" s="12">
        <f t="shared" si="1"/>
        <v>463.604909</v>
      </c>
    </row>
    <row r="19">
      <c r="A19" s="12">
        <v>0.558333333333333</v>
      </c>
      <c r="B19" s="12" t="s">
        <v>208</v>
      </c>
      <c r="C19" s="12">
        <v>2010.0</v>
      </c>
      <c r="D19" s="12">
        <v>180.0</v>
      </c>
      <c r="G19" s="12">
        <v>0.337342377777777</v>
      </c>
      <c r="H19" s="12" t="s">
        <v>208</v>
      </c>
      <c r="I19" s="12">
        <v>1214.43256</v>
      </c>
      <c r="K19" s="12">
        <f t="shared" si="3"/>
        <v>11</v>
      </c>
      <c r="L19" s="12">
        <f t="shared" si="1"/>
        <v>615.56744</v>
      </c>
    </row>
    <row r="20">
      <c r="A20" s="12">
        <v>0.608333333333333</v>
      </c>
      <c r="B20" s="12" t="s">
        <v>209</v>
      </c>
      <c r="C20" s="12">
        <v>2190.0</v>
      </c>
      <c r="D20" s="12">
        <v>180.0</v>
      </c>
      <c r="G20" s="12">
        <v>0.413232119166666</v>
      </c>
      <c r="H20" s="12" t="s">
        <v>209</v>
      </c>
      <c r="I20" s="12">
        <v>1487.63562899999</v>
      </c>
      <c r="K20" s="12">
        <f t="shared" si="3"/>
        <v>12</v>
      </c>
      <c r="L20" s="12">
        <f t="shared" si="1"/>
        <v>522.364371</v>
      </c>
    </row>
    <row r="21">
      <c r="A21" s="12">
        <v>0.658333333333333</v>
      </c>
      <c r="B21" s="12" t="s">
        <v>210</v>
      </c>
      <c r="C21" s="12">
        <v>2370.0</v>
      </c>
      <c r="D21" s="12">
        <v>180.0</v>
      </c>
      <c r="G21" s="12">
        <v>0.434686625833333</v>
      </c>
      <c r="H21" s="12" t="s">
        <v>210</v>
      </c>
      <c r="I21" s="12">
        <v>1564.87185299999</v>
      </c>
      <c r="K21" s="12">
        <f t="shared" si="3"/>
        <v>13</v>
      </c>
      <c r="L21" s="12">
        <f t="shared" si="1"/>
        <v>625.128147</v>
      </c>
    </row>
    <row r="22">
      <c r="A22" s="12">
        <v>0.708333333333333</v>
      </c>
      <c r="B22" s="12" t="s">
        <v>211</v>
      </c>
      <c r="C22" s="12">
        <v>2550.0</v>
      </c>
      <c r="D22" s="12">
        <v>180.0</v>
      </c>
      <c r="G22" s="12">
        <v>0.435313259722222</v>
      </c>
      <c r="H22" s="12" t="s">
        <v>211</v>
      </c>
      <c r="I22" s="12">
        <v>1567.127735</v>
      </c>
      <c r="K22" s="12">
        <f t="shared" si="3"/>
        <v>14</v>
      </c>
      <c r="L22" s="12">
        <f t="shared" si="1"/>
        <v>802.872265</v>
      </c>
    </row>
    <row r="23">
      <c r="A23" s="12">
        <v>0.758333333333333</v>
      </c>
      <c r="B23" s="12" t="s">
        <v>212</v>
      </c>
      <c r="C23" s="12">
        <v>2730.0</v>
      </c>
      <c r="D23" s="12">
        <v>180.0</v>
      </c>
      <c r="G23" s="12">
        <v>0.478766571388888</v>
      </c>
      <c r="H23" s="12" t="s">
        <v>212</v>
      </c>
      <c r="I23" s="12">
        <v>1723.559657</v>
      </c>
      <c r="K23" s="12">
        <f t="shared" si="3"/>
        <v>15</v>
      </c>
      <c r="L23" s="12">
        <f t="shared" si="1"/>
        <v>826.440343</v>
      </c>
    </row>
    <row r="24">
      <c r="A24" s="12">
        <v>0.808333333333333</v>
      </c>
      <c r="B24" s="12" t="s">
        <v>213</v>
      </c>
      <c r="C24" s="12">
        <v>2910.0</v>
      </c>
      <c r="D24" s="12">
        <v>180.0</v>
      </c>
      <c r="G24" s="12">
        <v>0.492218129166666</v>
      </c>
      <c r="H24" s="12" t="s">
        <v>213</v>
      </c>
      <c r="I24" s="12">
        <v>1771.985265</v>
      </c>
      <c r="K24" s="12">
        <f t="shared" si="3"/>
        <v>16</v>
      </c>
      <c r="L24" s="12">
        <f t="shared" si="1"/>
        <v>958.014735</v>
      </c>
    </row>
    <row r="25">
      <c r="A25" s="12">
        <v>0.858333333333333</v>
      </c>
      <c r="B25" s="12" t="s">
        <v>214</v>
      </c>
      <c r="C25" s="12">
        <v>3090.0</v>
      </c>
      <c r="D25" s="12">
        <v>180.0</v>
      </c>
      <c r="G25" s="12">
        <v>0.516033877777777</v>
      </c>
      <c r="H25" s="12" t="s">
        <v>214</v>
      </c>
      <c r="I25" s="12">
        <v>1857.72195999999</v>
      </c>
      <c r="K25" s="12">
        <f t="shared" si="3"/>
        <v>17</v>
      </c>
      <c r="L25" s="12">
        <f t="shared" si="1"/>
        <v>1052.27804</v>
      </c>
    </row>
    <row r="26">
      <c r="A26" s="12">
        <v>0.908333333333333</v>
      </c>
      <c r="B26" s="12" t="s">
        <v>215</v>
      </c>
      <c r="C26" s="12">
        <v>3270.0</v>
      </c>
      <c r="D26" s="12">
        <v>180.0</v>
      </c>
      <c r="G26" s="12">
        <v>0.786480536111111</v>
      </c>
      <c r="H26" s="12" t="s">
        <v>215</v>
      </c>
      <c r="I26" s="12">
        <v>2831.32993</v>
      </c>
      <c r="K26" s="12">
        <f t="shared" si="3"/>
        <v>18</v>
      </c>
      <c r="L26" s="12">
        <f t="shared" si="1"/>
        <v>258.67007</v>
      </c>
    </row>
    <row r="27">
      <c r="A27" s="12">
        <v>0.958333333333333</v>
      </c>
      <c r="B27" s="12" t="s">
        <v>216</v>
      </c>
      <c r="C27" s="12">
        <v>3450.0</v>
      </c>
      <c r="D27" s="12">
        <v>180.0</v>
      </c>
      <c r="G27" s="12">
        <v>0.832707624166666</v>
      </c>
      <c r="H27" s="12" t="s">
        <v>216</v>
      </c>
      <c r="I27" s="12">
        <v>2997.74744699999</v>
      </c>
      <c r="K27" s="12">
        <f t="shared" si="3"/>
        <v>19</v>
      </c>
      <c r="L27" s="12">
        <f t="shared" si="1"/>
        <v>272.252553</v>
      </c>
    </row>
    <row r="28">
      <c r="A28" s="12">
        <v>1.00833333333333</v>
      </c>
      <c r="B28" s="12" t="s">
        <v>217</v>
      </c>
      <c r="C28" s="12">
        <v>3630.0</v>
      </c>
      <c r="D28" s="12">
        <v>180.0</v>
      </c>
      <c r="G28" s="12">
        <v>0.938906320833333</v>
      </c>
      <c r="H28" s="12" t="s">
        <v>217</v>
      </c>
      <c r="I28" s="12">
        <v>3380.062755</v>
      </c>
      <c r="K28" s="12">
        <f t="shared" si="3"/>
        <v>20</v>
      </c>
      <c r="L28" s="12">
        <f t="shared" si="1"/>
        <v>69.937245</v>
      </c>
    </row>
    <row r="29">
      <c r="A29" s="12">
        <v>1.05833333333333</v>
      </c>
      <c r="B29" s="12" t="s">
        <v>218</v>
      </c>
      <c r="C29" s="12">
        <v>3810.0</v>
      </c>
      <c r="D29" s="12">
        <v>180.0</v>
      </c>
      <c r="G29" s="12">
        <v>0.98005253</v>
      </c>
      <c r="H29" s="12" t="s">
        <v>218</v>
      </c>
      <c r="I29" s="12">
        <v>3528.189108</v>
      </c>
      <c r="K29" s="12">
        <f t="shared" si="3"/>
        <v>21</v>
      </c>
      <c r="L29" s="12">
        <f t="shared" si="1"/>
        <v>101.810892</v>
      </c>
    </row>
    <row r="30">
      <c r="A30" s="12">
        <v>1.10833333333333</v>
      </c>
      <c r="B30" s="12" t="s">
        <v>219</v>
      </c>
      <c r="C30" s="12">
        <v>3990.0</v>
      </c>
      <c r="D30" s="12">
        <v>180.0</v>
      </c>
      <c r="G30" s="12">
        <v>1.0056959575</v>
      </c>
      <c r="H30" s="12" t="s">
        <v>219</v>
      </c>
      <c r="I30" s="12">
        <v>3620.505447</v>
      </c>
      <c r="K30" s="12">
        <f t="shared" si="3"/>
        <v>22</v>
      </c>
      <c r="L30" s="12">
        <f t="shared" si="1"/>
        <v>189.494553</v>
      </c>
    </row>
    <row r="31">
      <c r="A31" s="12">
        <v>1.15833333333333</v>
      </c>
      <c r="B31" s="12" t="s">
        <v>220</v>
      </c>
      <c r="C31" s="12">
        <v>4170.0</v>
      </c>
      <c r="D31" s="12">
        <v>180.0</v>
      </c>
      <c r="G31" s="12">
        <v>1.06506997583333</v>
      </c>
      <c r="H31" s="12" t="s">
        <v>220</v>
      </c>
      <c r="I31" s="12">
        <v>3834.251913</v>
      </c>
      <c r="K31" s="12">
        <f t="shared" si="3"/>
        <v>23</v>
      </c>
      <c r="L31" s="12">
        <f t="shared" si="1"/>
        <v>155.748087</v>
      </c>
    </row>
    <row r="32">
      <c r="A32" s="12">
        <v>1.20833333333333</v>
      </c>
      <c r="B32" s="12" t="s">
        <v>221</v>
      </c>
      <c r="C32" s="12">
        <v>4350.0</v>
      </c>
      <c r="D32" s="12">
        <v>180.0</v>
      </c>
      <c r="G32" s="12">
        <v>1.07205877833333</v>
      </c>
      <c r="H32" s="12" t="s">
        <v>221</v>
      </c>
      <c r="I32" s="12">
        <v>3859.41160199999</v>
      </c>
      <c r="K32" s="12">
        <f t="shared" si="3"/>
        <v>24</v>
      </c>
      <c r="L32" s="12">
        <f t="shared" si="1"/>
        <v>310.588398</v>
      </c>
    </row>
    <row r="33">
      <c r="A33" s="12">
        <v>1.27120230194444</v>
      </c>
      <c r="B33" s="12" t="s">
        <v>222</v>
      </c>
      <c r="C33" s="12">
        <v>4576.32828699999</v>
      </c>
      <c r="D33" s="12">
        <v>180.0</v>
      </c>
      <c r="G33" s="12">
        <v>1.22120230194444</v>
      </c>
      <c r="H33" s="12" t="s">
        <v>222</v>
      </c>
      <c r="I33" s="12">
        <v>4396.32828699999</v>
      </c>
      <c r="K33" s="12">
        <f t="shared" si="3"/>
        <v>25</v>
      </c>
      <c r="L33" s="12">
        <f t="shared" si="1"/>
        <v>0</v>
      </c>
    </row>
    <row r="34">
      <c r="A34" s="12">
        <v>1.33946111888888</v>
      </c>
      <c r="B34" s="12" t="s">
        <v>223</v>
      </c>
      <c r="C34" s="12">
        <v>4822.060028</v>
      </c>
      <c r="D34" s="12">
        <v>180.0</v>
      </c>
      <c r="G34" s="12">
        <v>1.28946111888888</v>
      </c>
      <c r="H34" s="12" t="s">
        <v>223</v>
      </c>
      <c r="I34" s="12">
        <v>4642.060028</v>
      </c>
      <c r="K34" s="12">
        <f t="shared" si="3"/>
        <v>26</v>
      </c>
      <c r="L34" s="12">
        <f t="shared" si="1"/>
        <v>0</v>
      </c>
    </row>
    <row r="35">
      <c r="A35" s="12">
        <v>1.4656219075</v>
      </c>
      <c r="B35" s="12" t="s">
        <v>224</v>
      </c>
      <c r="C35" s="12">
        <v>5276.238867</v>
      </c>
      <c r="D35" s="12">
        <v>180.0</v>
      </c>
      <c r="G35" s="12">
        <v>1.4156219075</v>
      </c>
      <c r="H35" s="12" t="s">
        <v>224</v>
      </c>
      <c r="I35" s="12">
        <v>5096.238867</v>
      </c>
      <c r="K35" s="12">
        <f t="shared" si="3"/>
        <v>27</v>
      </c>
      <c r="L35" s="12">
        <f t="shared" si="1"/>
        <v>0</v>
      </c>
    </row>
    <row r="36">
      <c r="A36" s="12">
        <v>1.5156219075</v>
      </c>
      <c r="B36" s="12" t="s">
        <v>225</v>
      </c>
      <c r="C36" s="12">
        <v>5456.238867</v>
      </c>
      <c r="D36" s="12">
        <v>180.0</v>
      </c>
      <c r="G36" s="12">
        <v>1.43045398166666</v>
      </c>
      <c r="H36" s="12" t="s">
        <v>225</v>
      </c>
      <c r="I36" s="12">
        <v>5149.63433399999</v>
      </c>
      <c r="K36" s="12">
        <f t="shared" si="3"/>
        <v>28</v>
      </c>
      <c r="L36" s="12">
        <f t="shared" si="1"/>
        <v>126.604533</v>
      </c>
    </row>
    <row r="37">
      <c r="A37" s="12">
        <v>1.5656219075</v>
      </c>
      <c r="B37" s="12" t="s">
        <v>226</v>
      </c>
      <c r="C37" s="12">
        <v>5636.238867</v>
      </c>
      <c r="D37" s="12">
        <v>180.0</v>
      </c>
      <c r="G37" s="12">
        <v>1.44498345999999</v>
      </c>
      <c r="H37" s="12" t="s">
        <v>226</v>
      </c>
      <c r="I37" s="12">
        <v>5201.94045599999</v>
      </c>
      <c r="K37" s="12">
        <f t="shared" si="3"/>
        <v>29</v>
      </c>
      <c r="L37" s="12">
        <f t="shared" si="1"/>
        <v>254.298411</v>
      </c>
    </row>
    <row r="38">
      <c r="A38" s="12">
        <v>1.6156219075</v>
      </c>
      <c r="B38" s="12" t="s">
        <v>227</v>
      </c>
      <c r="C38" s="12">
        <v>5816.238867</v>
      </c>
      <c r="D38" s="12">
        <v>180.0</v>
      </c>
      <c r="G38" s="12">
        <v>1.45365671555555</v>
      </c>
      <c r="H38" s="12" t="s">
        <v>227</v>
      </c>
      <c r="I38" s="12">
        <v>5233.16417599999</v>
      </c>
      <c r="K38" s="12">
        <f t="shared" si="3"/>
        <v>30</v>
      </c>
      <c r="L38" s="12">
        <f t="shared" si="1"/>
        <v>403.074691</v>
      </c>
    </row>
    <row r="39">
      <c r="A39" s="12">
        <v>1.6656219075</v>
      </c>
      <c r="B39" s="12" t="s">
        <v>228</v>
      </c>
      <c r="C39" s="12">
        <v>5996.238867</v>
      </c>
      <c r="D39" s="12">
        <v>180.0</v>
      </c>
      <c r="G39" s="12">
        <v>1.46312362694444</v>
      </c>
      <c r="H39" s="12" t="s">
        <v>228</v>
      </c>
      <c r="I39" s="12">
        <v>5267.245057</v>
      </c>
      <c r="K39" s="12">
        <f t="shared" si="3"/>
        <v>31</v>
      </c>
      <c r="L39" s="12">
        <f t="shared" si="1"/>
        <v>548.99381</v>
      </c>
    </row>
    <row r="40">
      <c r="A40" s="12">
        <v>1.7156219075</v>
      </c>
      <c r="B40" s="12" t="s">
        <v>229</v>
      </c>
      <c r="C40" s="12">
        <v>6176.238867</v>
      </c>
      <c r="D40" s="12">
        <v>180.0</v>
      </c>
      <c r="G40" s="12">
        <v>1.49483215611111</v>
      </c>
      <c r="H40" s="12" t="s">
        <v>229</v>
      </c>
      <c r="I40" s="12">
        <v>5381.395762</v>
      </c>
      <c r="K40" s="12">
        <f t="shared" si="3"/>
        <v>32</v>
      </c>
      <c r="L40" s="12">
        <f t="shared" si="1"/>
        <v>614.843105</v>
      </c>
    </row>
    <row r="41">
      <c r="A41" s="12">
        <v>1.7656219075</v>
      </c>
      <c r="B41" s="12" t="s">
        <v>230</v>
      </c>
      <c r="C41" s="12">
        <v>6356.238867</v>
      </c>
      <c r="D41" s="12">
        <v>180.0</v>
      </c>
      <c r="G41" s="12">
        <v>1.49911335444444</v>
      </c>
      <c r="H41" s="12" t="s">
        <v>230</v>
      </c>
      <c r="I41" s="12">
        <v>5396.80807599999</v>
      </c>
      <c r="K41" s="12">
        <f t="shared" si="3"/>
        <v>33</v>
      </c>
      <c r="L41" s="12">
        <f t="shared" si="1"/>
        <v>779.430791</v>
      </c>
    </row>
    <row r="42">
      <c r="A42" s="12">
        <v>1.8156219075</v>
      </c>
      <c r="B42" s="12" t="s">
        <v>231</v>
      </c>
      <c r="C42" s="12">
        <v>6536.238867</v>
      </c>
      <c r="D42" s="12">
        <v>180.0</v>
      </c>
      <c r="G42" s="12">
        <v>1.52974737999999</v>
      </c>
      <c r="H42" s="12" t="s">
        <v>231</v>
      </c>
      <c r="I42" s="12">
        <v>5507.090568</v>
      </c>
      <c r="K42" s="12">
        <f t="shared" si="3"/>
        <v>34</v>
      </c>
      <c r="L42" s="12">
        <f t="shared" si="1"/>
        <v>849.148299</v>
      </c>
    </row>
    <row r="43">
      <c r="A43" s="12">
        <v>1.8656219075</v>
      </c>
      <c r="B43" s="12" t="s">
        <v>232</v>
      </c>
      <c r="C43" s="12">
        <v>6716.238867</v>
      </c>
      <c r="D43" s="12">
        <v>180.0</v>
      </c>
      <c r="G43" s="12">
        <v>1.54621064861111</v>
      </c>
      <c r="H43" s="12" t="s">
        <v>232</v>
      </c>
      <c r="I43" s="12">
        <v>5566.358335</v>
      </c>
      <c r="K43" s="12">
        <f t="shared" si="3"/>
        <v>35</v>
      </c>
      <c r="L43" s="12">
        <f t="shared" si="1"/>
        <v>969.880532</v>
      </c>
    </row>
    <row r="44">
      <c r="A44" s="12">
        <v>1.9156219075</v>
      </c>
      <c r="B44" s="12" t="s">
        <v>233</v>
      </c>
      <c r="C44" s="12">
        <v>6896.238867</v>
      </c>
      <c r="D44" s="12">
        <v>180.0</v>
      </c>
      <c r="G44" s="12">
        <v>1.58417820194444</v>
      </c>
      <c r="H44" s="12" t="s">
        <v>233</v>
      </c>
      <c r="I44" s="12">
        <v>5703.04152699999</v>
      </c>
      <c r="K44" s="12">
        <f t="shared" si="3"/>
        <v>36</v>
      </c>
      <c r="L44" s="12">
        <f t="shared" si="1"/>
        <v>1013.19734</v>
      </c>
    </row>
    <row r="45">
      <c r="A45" s="12">
        <v>1.9656219075</v>
      </c>
      <c r="B45" s="12" t="s">
        <v>234</v>
      </c>
      <c r="C45" s="12">
        <v>7076.238867</v>
      </c>
      <c r="D45" s="12">
        <v>180.0</v>
      </c>
      <c r="G45" s="12">
        <v>1.59113278944444</v>
      </c>
      <c r="H45" s="12" t="s">
        <v>234</v>
      </c>
      <c r="I45" s="12">
        <v>5728.078042</v>
      </c>
      <c r="K45" s="12">
        <f t="shared" si="3"/>
        <v>37</v>
      </c>
      <c r="L45" s="12">
        <f t="shared" si="1"/>
        <v>1168.160825</v>
      </c>
    </row>
    <row r="46">
      <c r="A46" s="12">
        <v>2.0156219075</v>
      </c>
      <c r="B46" s="12" t="s">
        <v>235</v>
      </c>
      <c r="C46" s="12">
        <v>7256.238867</v>
      </c>
      <c r="D46" s="12">
        <v>180.0</v>
      </c>
      <c r="G46" s="12">
        <v>1.61717824777777</v>
      </c>
      <c r="H46" s="12" t="s">
        <v>235</v>
      </c>
      <c r="I46" s="12">
        <v>5821.841692</v>
      </c>
      <c r="K46" s="12">
        <f t="shared" si="3"/>
        <v>38</v>
      </c>
      <c r="L46" s="12">
        <f t="shared" si="1"/>
        <v>1254.397175</v>
      </c>
    </row>
    <row r="47">
      <c r="A47" s="12">
        <v>2.0656219075</v>
      </c>
      <c r="B47" s="12" t="s">
        <v>236</v>
      </c>
      <c r="C47" s="12">
        <v>7436.238867</v>
      </c>
      <c r="D47" s="12">
        <v>180.0</v>
      </c>
      <c r="G47" s="12">
        <v>1.65515173555555</v>
      </c>
      <c r="H47" s="12" t="s">
        <v>236</v>
      </c>
      <c r="I47" s="12">
        <v>5958.546248</v>
      </c>
      <c r="K47" s="12">
        <f t="shared" si="3"/>
        <v>39</v>
      </c>
      <c r="L47" s="12">
        <f t="shared" si="1"/>
        <v>1297.692619</v>
      </c>
    </row>
    <row r="48">
      <c r="A48" s="12">
        <v>2.1156219075</v>
      </c>
      <c r="B48" s="12" t="s">
        <v>237</v>
      </c>
      <c r="C48" s="12">
        <v>7616.238867</v>
      </c>
      <c r="D48" s="12">
        <v>180.0</v>
      </c>
      <c r="G48" s="12">
        <v>1.70844519777777</v>
      </c>
      <c r="H48" s="12" t="s">
        <v>237</v>
      </c>
      <c r="I48" s="12">
        <v>6150.402712</v>
      </c>
      <c r="K48" s="12">
        <f t="shared" si="3"/>
        <v>40</v>
      </c>
      <c r="L48" s="12">
        <f t="shared" si="1"/>
        <v>1285.836155</v>
      </c>
    </row>
    <row r="49">
      <c r="A49" s="12">
        <v>2.1656219075</v>
      </c>
      <c r="B49" s="12" t="s">
        <v>238</v>
      </c>
      <c r="C49" s="12">
        <v>7796.23886699999</v>
      </c>
      <c r="D49" s="12">
        <v>180.0</v>
      </c>
      <c r="G49" s="12">
        <v>1.75931016972222</v>
      </c>
      <c r="H49" s="12" t="s">
        <v>238</v>
      </c>
      <c r="I49" s="12">
        <v>6333.516611</v>
      </c>
      <c r="K49" s="12">
        <f t="shared" si="3"/>
        <v>41</v>
      </c>
      <c r="L49" s="12">
        <f t="shared" si="1"/>
        <v>1282.722256</v>
      </c>
    </row>
    <row r="50">
      <c r="A50" s="12">
        <v>2.2156219075</v>
      </c>
      <c r="B50" s="12" t="s">
        <v>239</v>
      </c>
      <c r="C50" s="12">
        <v>7976.238867</v>
      </c>
      <c r="D50" s="12">
        <v>180.0</v>
      </c>
      <c r="G50" s="12">
        <v>1.76636255638888</v>
      </c>
      <c r="H50" s="12" t="s">
        <v>239</v>
      </c>
      <c r="I50" s="12">
        <v>6358.90520299999</v>
      </c>
      <c r="K50" s="12">
        <f t="shared" si="3"/>
        <v>42</v>
      </c>
      <c r="L50" s="12">
        <f t="shared" si="1"/>
        <v>1437.333664</v>
      </c>
    </row>
    <row r="51">
      <c r="A51" s="12">
        <v>2.2656219075</v>
      </c>
      <c r="B51" s="12" t="s">
        <v>240</v>
      </c>
      <c r="C51" s="12">
        <v>8156.238867</v>
      </c>
      <c r="D51" s="12">
        <v>180.0</v>
      </c>
      <c r="G51" s="12">
        <v>1.80678035138888</v>
      </c>
      <c r="H51" s="12" t="s">
        <v>240</v>
      </c>
      <c r="I51" s="12">
        <v>6504.40926499999</v>
      </c>
      <c r="K51" s="12">
        <f t="shared" si="3"/>
        <v>43</v>
      </c>
      <c r="L51" s="12">
        <f t="shared" si="1"/>
        <v>1471.829602</v>
      </c>
    </row>
    <row r="52">
      <c r="A52" s="12">
        <v>2.3156219075</v>
      </c>
      <c r="B52" s="12" t="s">
        <v>241</v>
      </c>
      <c r="C52" s="12">
        <v>8336.238867</v>
      </c>
      <c r="D52" s="12">
        <v>180.0</v>
      </c>
      <c r="G52" s="12">
        <v>1.82801076444444</v>
      </c>
      <c r="H52" s="12" t="s">
        <v>241</v>
      </c>
      <c r="I52" s="12">
        <v>6580.838752</v>
      </c>
      <c r="K52" s="12">
        <f t="shared" si="3"/>
        <v>44</v>
      </c>
      <c r="L52" s="12">
        <f t="shared" si="1"/>
        <v>1575.400115</v>
      </c>
    </row>
    <row r="53">
      <c r="A53" s="12">
        <v>2.3656219075</v>
      </c>
      <c r="B53" s="12" t="s">
        <v>242</v>
      </c>
      <c r="C53" s="12">
        <v>8516.238867</v>
      </c>
      <c r="D53" s="12">
        <v>180.0</v>
      </c>
      <c r="G53" s="12">
        <v>1.83848275055555</v>
      </c>
      <c r="H53" s="12" t="s">
        <v>242</v>
      </c>
      <c r="I53" s="12">
        <v>6618.537902</v>
      </c>
      <c r="K53" s="12">
        <f t="shared" si="3"/>
        <v>45</v>
      </c>
      <c r="L53" s="12">
        <f t="shared" si="1"/>
        <v>1717.700965</v>
      </c>
    </row>
    <row r="54">
      <c r="A54" s="12">
        <v>2.4156219075</v>
      </c>
      <c r="B54" s="12" t="s">
        <v>243</v>
      </c>
      <c r="C54" s="12">
        <v>8696.238867</v>
      </c>
      <c r="D54" s="12">
        <v>180.0</v>
      </c>
      <c r="G54" s="12">
        <v>1.85003692055555</v>
      </c>
      <c r="H54" s="12" t="s">
        <v>243</v>
      </c>
      <c r="I54" s="12">
        <v>6660.132914</v>
      </c>
      <c r="K54" s="12">
        <f t="shared" si="3"/>
        <v>46</v>
      </c>
      <c r="L54" s="12">
        <f t="shared" si="1"/>
        <v>1856.105953</v>
      </c>
    </row>
    <row r="55">
      <c r="A55" s="12">
        <v>2.4656219075</v>
      </c>
      <c r="B55" s="12" t="s">
        <v>244</v>
      </c>
      <c r="C55" s="12">
        <v>8876.238867</v>
      </c>
      <c r="D55" s="12">
        <v>180.0</v>
      </c>
      <c r="G55" s="12">
        <v>1.87581994611111</v>
      </c>
      <c r="H55" s="12" t="s">
        <v>244</v>
      </c>
      <c r="I55" s="12">
        <v>6752.951806</v>
      </c>
      <c r="K55" s="12">
        <f t="shared" si="3"/>
        <v>47</v>
      </c>
      <c r="L55" s="12">
        <f t="shared" si="1"/>
        <v>1943.287061</v>
      </c>
    </row>
    <row r="56">
      <c r="A56" s="12">
        <v>2.5156219075</v>
      </c>
      <c r="B56" s="12" t="s">
        <v>245</v>
      </c>
      <c r="C56" s="12">
        <v>9056.238867</v>
      </c>
      <c r="D56" s="12">
        <v>180.0</v>
      </c>
      <c r="G56" s="12">
        <v>1.89384521249999</v>
      </c>
      <c r="H56" s="12" t="s">
        <v>245</v>
      </c>
      <c r="I56" s="12">
        <v>6817.84276499999</v>
      </c>
      <c r="K56" s="12">
        <f t="shared" si="3"/>
        <v>48</v>
      </c>
      <c r="L56" s="12">
        <f t="shared" si="1"/>
        <v>2058.396102</v>
      </c>
    </row>
    <row r="57">
      <c r="A57" s="12">
        <v>2.5656219075</v>
      </c>
      <c r="B57" s="12" t="s">
        <v>246</v>
      </c>
      <c r="C57" s="12">
        <v>9236.238867</v>
      </c>
      <c r="D57" s="12">
        <v>180.0</v>
      </c>
      <c r="G57" s="12">
        <v>1.97101149</v>
      </c>
      <c r="H57" s="12" t="s">
        <v>246</v>
      </c>
      <c r="I57" s="12">
        <v>7095.641364</v>
      </c>
      <c r="K57" s="12">
        <f t="shared" si="3"/>
        <v>49</v>
      </c>
      <c r="L57" s="12">
        <f t="shared" si="1"/>
        <v>1960.597503</v>
      </c>
    </row>
    <row r="58">
      <c r="A58" s="12">
        <v>2.6156219075</v>
      </c>
      <c r="B58" s="12" t="s">
        <v>247</v>
      </c>
      <c r="C58" s="12">
        <v>9416.238867</v>
      </c>
      <c r="D58" s="12">
        <v>180.0</v>
      </c>
      <c r="G58" s="12">
        <v>1.99314928166666</v>
      </c>
      <c r="H58" s="12" t="s">
        <v>247</v>
      </c>
      <c r="I58" s="12">
        <v>7175.337414</v>
      </c>
      <c r="K58" s="12">
        <f t="shared" si="3"/>
        <v>50</v>
      </c>
      <c r="L58" s="12">
        <f t="shared" si="1"/>
        <v>2060.901453</v>
      </c>
    </row>
    <row r="59">
      <c r="A59" s="12">
        <v>2.6656219075</v>
      </c>
      <c r="B59" s="12" t="s">
        <v>248</v>
      </c>
      <c r="C59" s="12">
        <v>9596.238867</v>
      </c>
      <c r="D59" s="12">
        <v>180.0</v>
      </c>
      <c r="G59" s="12">
        <v>1.99995975916666</v>
      </c>
      <c r="H59" s="12" t="s">
        <v>248</v>
      </c>
      <c r="I59" s="12">
        <v>7199.855133</v>
      </c>
      <c r="K59" s="12">
        <f t="shared" si="3"/>
        <v>51</v>
      </c>
      <c r="L59" s="12">
        <f t="shared" si="1"/>
        <v>2216.383734</v>
      </c>
    </row>
    <row r="60">
      <c r="A60" s="12">
        <v>2.7156219075</v>
      </c>
      <c r="B60" s="12" t="s">
        <v>249</v>
      </c>
      <c r="C60" s="12">
        <v>9776.238867</v>
      </c>
      <c r="D60" s="12">
        <v>180.0</v>
      </c>
      <c r="G60" s="12">
        <v>2.00586630277777</v>
      </c>
      <c r="H60" s="12" t="s">
        <v>249</v>
      </c>
      <c r="I60" s="12">
        <v>7221.11868999999</v>
      </c>
      <c r="K60" s="12">
        <f t="shared" si="3"/>
        <v>52</v>
      </c>
      <c r="L60" s="12">
        <f t="shared" si="1"/>
        <v>2375.120177</v>
      </c>
    </row>
    <row r="61">
      <c r="A61" s="12">
        <v>2.7656219075</v>
      </c>
      <c r="B61" s="12" t="s">
        <v>250</v>
      </c>
      <c r="C61" s="12">
        <v>9956.238867</v>
      </c>
      <c r="D61" s="12">
        <v>180.0</v>
      </c>
      <c r="G61" s="12">
        <v>2.16056245111111</v>
      </c>
      <c r="H61" s="12" t="s">
        <v>250</v>
      </c>
      <c r="I61" s="12">
        <v>7778.024824</v>
      </c>
      <c r="K61" s="12">
        <f t="shared" si="3"/>
        <v>53</v>
      </c>
      <c r="L61" s="12">
        <f t="shared" si="1"/>
        <v>1998.214043</v>
      </c>
    </row>
    <row r="62">
      <c r="A62" s="12">
        <v>2.8156219075</v>
      </c>
      <c r="B62" s="12" t="s">
        <v>251</v>
      </c>
      <c r="C62" s="12">
        <v>10136.238867</v>
      </c>
      <c r="D62" s="12">
        <v>180.0</v>
      </c>
      <c r="G62" s="12">
        <v>2.19392822277777</v>
      </c>
      <c r="H62" s="12" t="s">
        <v>251</v>
      </c>
      <c r="I62" s="12">
        <v>7898.141602</v>
      </c>
      <c r="K62" s="12">
        <f t="shared" si="3"/>
        <v>54</v>
      </c>
      <c r="L62" s="12">
        <f t="shared" si="1"/>
        <v>2058.097265</v>
      </c>
    </row>
    <row r="63">
      <c r="A63" s="12">
        <v>2.8656219075</v>
      </c>
      <c r="B63" s="12" t="s">
        <v>252</v>
      </c>
      <c r="C63" s="12">
        <v>10316.238867</v>
      </c>
      <c r="D63" s="12">
        <v>180.0</v>
      </c>
      <c r="G63" s="12">
        <v>2.23576338972222</v>
      </c>
      <c r="H63" s="12" t="s">
        <v>252</v>
      </c>
      <c r="I63" s="12">
        <v>8048.74820299999</v>
      </c>
      <c r="K63" s="12">
        <f t="shared" si="3"/>
        <v>55</v>
      </c>
      <c r="L63" s="12">
        <f t="shared" si="1"/>
        <v>2087.490664</v>
      </c>
    </row>
    <row r="64">
      <c r="A64" s="12">
        <v>2.9156219075</v>
      </c>
      <c r="B64" s="12" t="s">
        <v>253</v>
      </c>
      <c r="C64" s="12">
        <v>10496.238867</v>
      </c>
      <c r="D64" s="12">
        <v>180.0</v>
      </c>
      <c r="G64" s="12">
        <v>2.30943343722222</v>
      </c>
      <c r="H64" s="12" t="s">
        <v>253</v>
      </c>
      <c r="I64" s="12">
        <v>8313.960374</v>
      </c>
      <c r="K64" s="12">
        <f t="shared" si="3"/>
        <v>56</v>
      </c>
      <c r="L64" s="12">
        <f t="shared" si="1"/>
        <v>2002.278493</v>
      </c>
    </row>
    <row r="65">
      <c r="A65" s="12">
        <v>2.9656219075</v>
      </c>
      <c r="B65" s="12" t="s">
        <v>254</v>
      </c>
      <c r="C65" s="12">
        <v>10676.238867</v>
      </c>
      <c r="D65" s="12">
        <v>180.0</v>
      </c>
      <c r="G65" s="12">
        <v>2.3201873275</v>
      </c>
      <c r="H65" s="12" t="s">
        <v>254</v>
      </c>
      <c r="I65" s="12">
        <v>8352.674379</v>
      </c>
      <c r="K65" s="12">
        <f t="shared" si="3"/>
        <v>57</v>
      </c>
      <c r="L65" s="12">
        <f t="shared" si="1"/>
        <v>2143.564488</v>
      </c>
    </row>
    <row r="66">
      <c r="A66" s="12">
        <v>3.0156219075</v>
      </c>
      <c r="B66" s="12" t="s">
        <v>255</v>
      </c>
      <c r="C66" s="12">
        <v>10856.238867</v>
      </c>
      <c r="D66" s="12">
        <v>180.0</v>
      </c>
      <c r="G66" s="12">
        <v>2.35806972444444</v>
      </c>
      <c r="H66" s="12" t="s">
        <v>255</v>
      </c>
      <c r="I66" s="12">
        <v>8489.051008</v>
      </c>
      <c r="K66" s="12">
        <f t="shared" si="3"/>
        <v>58</v>
      </c>
      <c r="L66" s="12">
        <f t="shared" si="1"/>
        <v>2187.187859</v>
      </c>
    </row>
    <row r="67">
      <c r="A67" s="12">
        <v>3.0656219075</v>
      </c>
      <c r="B67" s="12" t="s">
        <v>256</v>
      </c>
      <c r="C67" s="12">
        <v>11036.238867</v>
      </c>
      <c r="D67" s="12">
        <v>180.0</v>
      </c>
      <c r="G67" s="12">
        <v>2.39913426611111</v>
      </c>
      <c r="H67" s="12" t="s">
        <v>256</v>
      </c>
      <c r="I67" s="12">
        <v>8636.883358</v>
      </c>
      <c r="K67" s="12">
        <f t="shared" si="3"/>
        <v>59</v>
      </c>
      <c r="L67" s="12">
        <f t="shared" si="1"/>
        <v>2219.355509</v>
      </c>
    </row>
    <row r="68">
      <c r="A68" s="12">
        <v>3.1156219075</v>
      </c>
      <c r="B68" s="12" t="s">
        <v>257</v>
      </c>
      <c r="C68" s="12">
        <v>11216.238867</v>
      </c>
      <c r="D68" s="12">
        <v>180.0</v>
      </c>
      <c r="G68" s="12">
        <v>2.42954994638888</v>
      </c>
      <c r="H68" s="12" t="s">
        <v>257</v>
      </c>
      <c r="I68" s="12">
        <v>8746.379807</v>
      </c>
      <c r="K68" s="12">
        <f t="shared" si="3"/>
        <v>60</v>
      </c>
      <c r="L68" s="12">
        <f t="shared" si="1"/>
        <v>2289.85906</v>
      </c>
    </row>
    <row r="69">
      <c r="A69" s="12">
        <v>3.1656219075</v>
      </c>
      <c r="B69" s="12" t="s">
        <v>258</v>
      </c>
      <c r="C69" s="12">
        <v>11396.238867</v>
      </c>
      <c r="D69" s="12">
        <v>180.0</v>
      </c>
      <c r="G69" s="12">
        <v>2.49098559083333</v>
      </c>
      <c r="H69" s="12" t="s">
        <v>258</v>
      </c>
      <c r="I69" s="12">
        <v>8967.548127</v>
      </c>
      <c r="K69" s="12">
        <f t="shared" si="3"/>
        <v>61</v>
      </c>
      <c r="L69" s="12">
        <f t="shared" si="1"/>
        <v>2248.69074</v>
      </c>
    </row>
    <row r="70">
      <c r="A70" s="12">
        <v>3.2156219075</v>
      </c>
      <c r="B70" s="12" t="s">
        <v>259</v>
      </c>
      <c r="C70" s="12">
        <v>11576.238867</v>
      </c>
      <c r="D70" s="12">
        <v>180.0</v>
      </c>
      <c r="G70" s="12">
        <v>2.50537616333333</v>
      </c>
      <c r="H70" s="12" t="s">
        <v>259</v>
      </c>
      <c r="I70" s="12">
        <v>9019.354188</v>
      </c>
      <c r="K70" s="12">
        <f t="shared" si="3"/>
        <v>62</v>
      </c>
      <c r="L70" s="12">
        <f t="shared" si="1"/>
        <v>2376.884679</v>
      </c>
    </row>
    <row r="71">
      <c r="A71" s="12">
        <v>3.2656219075</v>
      </c>
      <c r="B71" s="12" t="s">
        <v>260</v>
      </c>
      <c r="C71" s="12">
        <v>11756.238867</v>
      </c>
      <c r="D71" s="12">
        <v>180.0</v>
      </c>
      <c r="G71" s="12">
        <v>2.52354451916666</v>
      </c>
      <c r="H71" s="12" t="s">
        <v>260</v>
      </c>
      <c r="I71" s="12">
        <v>9084.760269</v>
      </c>
      <c r="K71" s="12">
        <f t="shared" si="3"/>
        <v>63</v>
      </c>
      <c r="L71" s="12">
        <f t="shared" si="1"/>
        <v>2491.478598</v>
      </c>
    </row>
    <row r="72">
      <c r="A72" s="12">
        <v>3.3156219075</v>
      </c>
      <c r="B72" s="12" t="s">
        <v>261</v>
      </c>
      <c r="C72" s="12">
        <v>11936.238867</v>
      </c>
      <c r="D72" s="12">
        <v>180.0</v>
      </c>
      <c r="G72" s="12">
        <v>2.52521963722222</v>
      </c>
      <c r="H72" s="12" t="s">
        <v>261</v>
      </c>
      <c r="I72" s="12">
        <v>9090.790694</v>
      </c>
      <c r="K72" s="12">
        <f t="shared" si="3"/>
        <v>64</v>
      </c>
      <c r="L72" s="12">
        <f t="shared" si="1"/>
        <v>2665.448173</v>
      </c>
    </row>
    <row r="73">
      <c r="A73" s="12">
        <v>3.3656219075</v>
      </c>
      <c r="B73" s="12" t="s">
        <v>262</v>
      </c>
      <c r="C73" s="12">
        <v>12116.238867</v>
      </c>
      <c r="D73" s="12">
        <v>180.0</v>
      </c>
      <c r="G73" s="12">
        <v>2.52876410527777</v>
      </c>
      <c r="H73" s="12" t="s">
        <v>262</v>
      </c>
      <c r="I73" s="12">
        <v>9103.550779</v>
      </c>
      <c r="K73" s="12">
        <f t="shared" si="3"/>
        <v>65</v>
      </c>
      <c r="L73" s="12">
        <f t="shared" si="1"/>
        <v>2832.688088</v>
      </c>
    </row>
    <row r="74">
      <c r="A74" s="12">
        <v>3.4156219075</v>
      </c>
      <c r="B74" s="12" t="s">
        <v>263</v>
      </c>
      <c r="C74" s="12">
        <v>12296.238867</v>
      </c>
      <c r="D74" s="12">
        <v>180.0</v>
      </c>
      <c r="G74" s="12">
        <v>2.57981199833333</v>
      </c>
      <c r="H74" s="12" t="s">
        <v>263</v>
      </c>
      <c r="I74" s="12">
        <v>9287.32319399999</v>
      </c>
      <c r="K74" s="12">
        <f t="shared" si="3"/>
        <v>66</v>
      </c>
      <c r="L74" s="12">
        <f t="shared" si="1"/>
        <v>2828.915673</v>
      </c>
    </row>
    <row r="75">
      <c r="A75" s="12">
        <v>3.4656219075</v>
      </c>
      <c r="B75" s="12" t="s">
        <v>264</v>
      </c>
      <c r="C75" s="12">
        <v>12476.238867</v>
      </c>
      <c r="D75" s="12">
        <v>180.0</v>
      </c>
      <c r="G75" s="12">
        <v>2.59187861333333</v>
      </c>
      <c r="H75" s="12" t="s">
        <v>264</v>
      </c>
      <c r="I75" s="12">
        <v>9330.763008</v>
      </c>
      <c r="K75" s="12">
        <f t="shared" si="3"/>
        <v>67</v>
      </c>
      <c r="L75" s="12">
        <f t="shared" si="1"/>
        <v>2965.475859</v>
      </c>
    </row>
    <row r="76">
      <c r="A76" s="12">
        <v>3.5156219075</v>
      </c>
      <c r="B76" s="12" t="s">
        <v>265</v>
      </c>
      <c r="C76" s="12">
        <v>12656.238867</v>
      </c>
      <c r="D76" s="12">
        <v>180.0</v>
      </c>
      <c r="G76" s="12">
        <v>2.59568430583333</v>
      </c>
      <c r="H76" s="12" t="s">
        <v>265</v>
      </c>
      <c r="I76" s="12">
        <v>9344.463501</v>
      </c>
      <c r="K76" s="12">
        <f t="shared" si="3"/>
        <v>68</v>
      </c>
      <c r="L76" s="12">
        <f t="shared" si="1"/>
        <v>3131.775366</v>
      </c>
    </row>
    <row r="77">
      <c r="A77" s="12">
        <v>3.5656219075</v>
      </c>
      <c r="B77" s="12" t="s">
        <v>266</v>
      </c>
      <c r="C77" s="12">
        <v>12836.238867</v>
      </c>
      <c r="D77" s="12">
        <v>180.0</v>
      </c>
      <c r="G77" s="12">
        <v>2.59797932972222</v>
      </c>
      <c r="H77" s="12" t="s">
        <v>266</v>
      </c>
      <c r="I77" s="12">
        <v>9352.72558699999</v>
      </c>
      <c r="K77" s="12">
        <f t="shared" si="3"/>
        <v>69</v>
      </c>
      <c r="L77" s="12">
        <f t="shared" si="1"/>
        <v>3303.51328</v>
      </c>
    </row>
    <row r="78">
      <c r="A78" s="12">
        <v>3.6156219075</v>
      </c>
      <c r="B78" s="12" t="s">
        <v>267</v>
      </c>
      <c r="C78" s="12">
        <v>13016.238867</v>
      </c>
      <c r="D78" s="12">
        <v>180.0</v>
      </c>
      <c r="G78" s="12">
        <v>2.6597599625</v>
      </c>
      <c r="H78" s="12" t="s">
        <v>267</v>
      </c>
      <c r="I78" s="12">
        <v>9575.135865</v>
      </c>
      <c r="K78" s="12">
        <f t="shared" si="3"/>
        <v>70</v>
      </c>
      <c r="L78" s="12">
        <f t="shared" si="1"/>
        <v>3261.103002</v>
      </c>
    </row>
    <row r="79">
      <c r="A79" s="12">
        <v>3.6656219075</v>
      </c>
      <c r="B79" s="12" t="s">
        <v>268</v>
      </c>
      <c r="C79" s="12">
        <v>13196.238867</v>
      </c>
      <c r="D79" s="12">
        <v>180.0</v>
      </c>
      <c r="G79" s="12">
        <v>2.66543099722222</v>
      </c>
      <c r="H79" s="12" t="s">
        <v>268</v>
      </c>
      <c r="I79" s="12">
        <v>9595.55159</v>
      </c>
      <c r="K79" s="12">
        <f t="shared" si="3"/>
        <v>71</v>
      </c>
      <c r="L79" s="12">
        <f t="shared" si="1"/>
        <v>3420.687277</v>
      </c>
    </row>
    <row r="80">
      <c r="A80" s="12">
        <v>3.7156219075</v>
      </c>
      <c r="B80" s="12" t="s">
        <v>269</v>
      </c>
      <c r="C80" s="12">
        <v>13376.238867</v>
      </c>
      <c r="D80" s="12">
        <v>180.0</v>
      </c>
      <c r="G80" s="12">
        <v>2.68864402444444</v>
      </c>
      <c r="H80" s="12" t="s">
        <v>269</v>
      </c>
      <c r="I80" s="12">
        <v>9679.118488</v>
      </c>
      <c r="K80" s="12">
        <f t="shared" si="3"/>
        <v>72</v>
      </c>
      <c r="L80" s="12">
        <f t="shared" si="1"/>
        <v>3517.120379</v>
      </c>
    </row>
    <row r="81">
      <c r="A81" s="12">
        <v>3.7656219075</v>
      </c>
      <c r="B81" s="12" t="s">
        <v>270</v>
      </c>
      <c r="C81" s="12">
        <v>13556.238867</v>
      </c>
      <c r="D81" s="12">
        <v>180.0</v>
      </c>
      <c r="G81" s="12">
        <v>2.68980459611111</v>
      </c>
      <c r="H81" s="12" t="s">
        <v>270</v>
      </c>
      <c r="I81" s="12">
        <v>9683.296546</v>
      </c>
      <c r="K81" s="12">
        <f t="shared" si="3"/>
        <v>73</v>
      </c>
      <c r="L81" s="12">
        <f t="shared" si="1"/>
        <v>3692.942321</v>
      </c>
    </row>
    <row r="82">
      <c r="A82" s="12">
        <v>3.8156219075</v>
      </c>
      <c r="B82" s="12" t="s">
        <v>271</v>
      </c>
      <c r="C82" s="12">
        <v>13736.238867</v>
      </c>
      <c r="D82" s="12">
        <v>180.0</v>
      </c>
      <c r="G82" s="12">
        <v>2.71337702777777</v>
      </c>
      <c r="H82" s="12" t="s">
        <v>271</v>
      </c>
      <c r="I82" s="12">
        <v>9768.15729999999</v>
      </c>
      <c r="K82" s="12">
        <f t="shared" si="3"/>
        <v>74</v>
      </c>
      <c r="L82" s="12">
        <f t="shared" si="1"/>
        <v>3788.081567</v>
      </c>
    </row>
    <row r="83">
      <c r="A83" s="12">
        <v>3.8656219075</v>
      </c>
      <c r="B83" s="12" t="s">
        <v>272</v>
      </c>
      <c r="C83" s="12">
        <v>13916.238867</v>
      </c>
      <c r="D83" s="12">
        <v>180.0</v>
      </c>
      <c r="G83" s="12">
        <v>2.71850601805555</v>
      </c>
      <c r="H83" s="12" t="s">
        <v>272</v>
      </c>
      <c r="I83" s="12">
        <v>9786.62166499999</v>
      </c>
      <c r="K83" s="12">
        <f t="shared" si="3"/>
        <v>75</v>
      </c>
      <c r="L83" s="12">
        <f t="shared" si="1"/>
        <v>3949.617202</v>
      </c>
    </row>
    <row r="84">
      <c r="A84" s="12">
        <v>3.9156219075</v>
      </c>
      <c r="B84" s="12" t="s">
        <v>273</v>
      </c>
      <c r="C84" s="12">
        <v>14096.238867</v>
      </c>
      <c r="D84" s="12">
        <v>180.0</v>
      </c>
      <c r="G84" s="12">
        <v>2.82716007861111</v>
      </c>
      <c r="H84" s="12" t="s">
        <v>273</v>
      </c>
      <c r="I84" s="12">
        <v>10177.776283</v>
      </c>
      <c r="K84" s="12">
        <f t="shared" si="3"/>
        <v>76</v>
      </c>
      <c r="L84" s="12">
        <f t="shared" si="1"/>
        <v>3738.462584</v>
      </c>
    </row>
    <row r="85">
      <c r="A85" s="12">
        <v>3.9656219075</v>
      </c>
      <c r="B85" s="12" t="s">
        <v>274</v>
      </c>
      <c r="C85" s="12">
        <v>14276.238867</v>
      </c>
      <c r="D85" s="12">
        <v>180.0</v>
      </c>
      <c r="G85" s="12">
        <v>2.84782175749999</v>
      </c>
      <c r="H85" s="12" t="s">
        <v>274</v>
      </c>
      <c r="I85" s="12">
        <v>10252.158327</v>
      </c>
      <c r="K85" s="12">
        <f t="shared" si="3"/>
        <v>77</v>
      </c>
      <c r="L85" s="12">
        <f t="shared" si="1"/>
        <v>3844.08054</v>
      </c>
    </row>
    <row r="86">
      <c r="A86" s="12">
        <v>4.0156219075</v>
      </c>
      <c r="B86" s="12" t="s">
        <v>275</v>
      </c>
      <c r="C86" s="12">
        <v>14456.238867</v>
      </c>
      <c r="D86" s="12">
        <v>180.0</v>
      </c>
      <c r="G86" s="12">
        <v>2.92669845861111</v>
      </c>
      <c r="H86" s="12" t="s">
        <v>275</v>
      </c>
      <c r="I86" s="12">
        <v>10536.114451</v>
      </c>
      <c r="K86" s="12">
        <f t="shared" si="3"/>
        <v>78</v>
      </c>
      <c r="L86" s="12">
        <f t="shared" si="1"/>
        <v>3740.124416</v>
      </c>
    </row>
    <row r="87">
      <c r="A87" s="12">
        <v>4.0656219075</v>
      </c>
      <c r="B87" s="12" t="s">
        <v>276</v>
      </c>
      <c r="C87" s="12">
        <v>14636.2388669999</v>
      </c>
      <c r="D87" s="12">
        <v>180.0</v>
      </c>
      <c r="G87" s="12">
        <v>2.92979573611111</v>
      </c>
      <c r="H87" s="12" t="s">
        <v>276</v>
      </c>
      <c r="I87" s="12">
        <v>10547.26465</v>
      </c>
      <c r="K87" s="12">
        <f t="shared" si="3"/>
        <v>79</v>
      </c>
      <c r="L87" s="12">
        <f t="shared" si="1"/>
        <v>3908.974217</v>
      </c>
    </row>
    <row r="88">
      <c r="A88" s="12">
        <v>4.1156219075</v>
      </c>
      <c r="B88" s="12" t="s">
        <v>277</v>
      </c>
      <c r="C88" s="12">
        <v>14816.2388669999</v>
      </c>
      <c r="D88" s="12">
        <v>180.0</v>
      </c>
      <c r="G88" s="12">
        <v>2.94288245277777</v>
      </c>
      <c r="H88" s="12" t="s">
        <v>277</v>
      </c>
      <c r="I88" s="12">
        <v>10594.37683</v>
      </c>
      <c r="K88" s="12">
        <f t="shared" si="3"/>
        <v>80</v>
      </c>
      <c r="L88" s="12">
        <f t="shared" si="1"/>
        <v>4041.862037</v>
      </c>
    </row>
    <row r="89">
      <c r="A89" s="12">
        <v>4.1656219075</v>
      </c>
      <c r="B89" s="12" t="s">
        <v>278</v>
      </c>
      <c r="C89" s="12">
        <v>14996.238867</v>
      </c>
      <c r="D89" s="12">
        <v>180.0</v>
      </c>
      <c r="G89" s="12">
        <v>2.96740647027777</v>
      </c>
      <c r="H89" s="12" t="s">
        <v>278</v>
      </c>
      <c r="I89" s="12">
        <v>10682.663293</v>
      </c>
      <c r="K89" s="12">
        <f t="shared" si="3"/>
        <v>81</v>
      </c>
      <c r="L89" s="12">
        <f t="shared" si="1"/>
        <v>4133.575574</v>
      </c>
    </row>
    <row r="90">
      <c r="A90" s="12">
        <v>4.2156219075</v>
      </c>
      <c r="B90" s="12" t="s">
        <v>279</v>
      </c>
      <c r="C90" s="12">
        <v>15176.238867</v>
      </c>
      <c r="D90" s="12">
        <v>180.0</v>
      </c>
      <c r="G90" s="12">
        <v>2.98676856305555</v>
      </c>
      <c r="H90" s="12" t="s">
        <v>279</v>
      </c>
      <c r="I90" s="12">
        <v>10752.366827</v>
      </c>
      <c r="K90" s="12">
        <f t="shared" si="3"/>
        <v>82</v>
      </c>
      <c r="L90" s="12">
        <f t="shared" si="1"/>
        <v>4243.87204</v>
      </c>
    </row>
    <row r="91">
      <c r="A91" s="12">
        <v>4.2656219075</v>
      </c>
      <c r="B91" s="12" t="s">
        <v>280</v>
      </c>
      <c r="C91" s="12">
        <v>15356.238867</v>
      </c>
      <c r="D91" s="12">
        <v>180.0</v>
      </c>
      <c r="G91" s="12">
        <v>2.98747011805555</v>
      </c>
      <c r="H91" s="12" t="s">
        <v>280</v>
      </c>
      <c r="I91" s="12">
        <v>10754.892425</v>
      </c>
      <c r="K91" s="12">
        <f t="shared" si="3"/>
        <v>83</v>
      </c>
      <c r="L91" s="12">
        <f t="shared" si="1"/>
        <v>4421.346442</v>
      </c>
    </row>
    <row r="92">
      <c r="A92" s="12">
        <v>4.3156219075</v>
      </c>
      <c r="B92" s="12" t="s">
        <v>281</v>
      </c>
      <c r="C92" s="12">
        <v>15536.2388669999</v>
      </c>
      <c r="D92" s="12">
        <v>180.0</v>
      </c>
      <c r="G92" s="12">
        <v>3.037963735</v>
      </c>
      <c r="H92" s="12" t="s">
        <v>281</v>
      </c>
      <c r="I92" s="12">
        <v>10936.669446</v>
      </c>
      <c r="K92" s="12">
        <f t="shared" si="3"/>
        <v>84</v>
      </c>
      <c r="L92" s="12">
        <f t="shared" si="1"/>
        <v>4419.569421</v>
      </c>
    </row>
    <row r="93">
      <c r="A93" s="12">
        <v>4.3656219075</v>
      </c>
      <c r="B93" s="12" t="s">
        <v>282</v>
      </c>
      <c r="C93" s="12">
        <v>15716.2388669999</v>
      </c>
      <c r="D93" s="12">
        <v>180.0</v>
      </c>
      <c r="G93" s="12">
        <v>3.08279824083333</v>
      </c>
      <c r="H93" s="12" t="s">
        <v>282</v>
      </c>
      <c r="I93" s="12">
        <v>11098.0736669999</v>
      </c>
      <c r="K93" s="12">
        <f t="shared" si="3"/>
        <v>85</v>
      </c>
      <c r="L93" s="12">
        <f t="shared" si="1"/>
        <v>4438.1652</v>
      </c>
    </row>
    <row r="94">
      <c r="A94" s="12">
        <v>4.4156219075</v>
      </c>
      <c r="B94" s="12" t="s">
        <v>283</v>
      </c>
      <c r="C94" s="12">
        <v>15896.238867</v>
      </c>
      <c r="D94" s="12">
        <v>180.0</v>
      </c>
      <c r="G94" s="12">
        <v>3.10427869388888</v>
      </c>
      <c r="H94" s="12" t="s">
        <v>283</v>
      </c>
      <c r="I94" s="12">
        <v>11175.403298</v>
      </c>
      <c r="K94" s="12">
        <f t="shared" si="3"/>
        <v>86</v>
      </c>
      <c r="L94" s="12">
        <f t="shared" si="1"/>
        <v>4540.835569</v>
      </c>
    </row>
    <row r="95">
      <c r="A95" s="12">
        <v>4.4656219075</v>
      </c>
      <c r="B95" s="12" t="s">
        <v>284</v>
      </c>
      <c r="C95" s="12">
        <v>16076.238867</v>
      </c>
      <c r="D95" s="12">
        <v>180.0</v>
      </c>
      <c r="G95" s="12">
        <v>3.12261359194444</v>
      </c>
      <c r="H95" s="12" t="s">
        <v>284</v>
      </c>
      <c r="I95" s="12">
        <v>11241.408931</v>
      </c>
      <c r="K95" s="12">
        <f t="shared" si="3"/>
        <v>87</v>
      </c>
      <c r="L95" s="12">
        <f t="shared" si="1"/>
        <v>4654.829936</v>
      </c>
    </row>
    <row r="96">
      <c r="A96" s="12">
        <v>4.5156219075</v>
      </c>
      <c r="B96" s="12" t="s">
        <v>285</v>
      </c>
      <c r="C96" s="12">
        <v>16256.238867</v>
      </c>
      <c r="D96" s="12">
        <v>180.0</v>
      </c>
      <c r="G96" s="12">
        <v>3.16805850111111</v>
      </c>
      <c r="H96" s="12" t="s">
        <v>285</v>
      </c>
      <c r="I96" s="12">
        <v>11405.010604</v>
      </c>
      <c r="K96" s="12">
        <f t="shared" si="3"/>
        <v>88</v>
      </c>
      <c r="L96" s="12">
        <f t="shared" si="1"/>
        <v>4671.228263</v>
      </c>
    </row>
    <row r="97">
      <c r="A97" s="12">
        <v>4.5656219075</v>
      </c>
      <c r="B97" s="12" t="s">
        <v>286</v>
      </c>
      <c r="C97" s="12">
        <v>16436.238867</v>
      </c>
      <c r="D97" s="12">
        <v>180.0</v>
      </c>
      <c r="G97" s="12">
        <v>3.16948256777777</v>
      </c>
      <c r="H97" s="12" t="s">
        <v>286</v>
      </c>
      <c r="I97" s="12">
        <v>11410.137244</v>
      </c>
      <c r="K97" s="12">
        <f t="shared" si="3"/>
        <v>89</v>
      </c>
      <c r="L97" s="12">
        <f t="shared" si="1"/>
        <v>4846.101623</v>
      </c>
    </row>
    <row r="98">
      <c r="A98" s="12">
        <v>4.6156219075</v>
      </c>
      <c r="B98" s="12" t="s">
        <v>287</v>
      </c>
      <c r="C98" s="12">
        <v>16616.238867</v>
      </c>
      <c r="D98" s="12">
        <v>180.0</v>
      </c>
      <c r="G98" s="12">
        <v>3.32830166722222</v>
      </c>
      <c r="H98" s="12" t="s">
        <v>287</v>
      </c>
      <c r="I98" s="12">
        <v>11981.886002</v>
      </c>
      <c r="K98" s="12">
        <f t="shared" si="3"/>
        <v>90</v>
      </c>
      <c r="L98" s="12">
        <f t="shared" si="1"/>
        <v>4454.352865</v>
      </c>
    </row>
    <row r="99">
      <c r="A99" s="12">
        <v>4.6656219075</v>
      </c>
      <c r="B99" s="12" t="s">
        <v>288</v>
      </c>
      <c r="C99" s="12">
        <v>16796.238867</v>
      </c>
      <c r="D99" s="12">
        <v>180.0</v>
      </c>
      <c r="G99" s="12">
        <v>3.34379008055555</v>
      </c>
      <c r="H99" s="12" t="s">
        <v>288</v>
      </c>
      <c r="I99" s="12">
        <v>12037.64429</v>
      </c>
      <c r="K99" s="12">
        <f t="shared" si="3"/>
        <v>91</v>
      </c>
      <c r="L99" s="12">
        <f t="shared" si="1"/>
        <v>4578.594577</v>
      </c>
    </row>
    <row r="100">
      <c r="A100" s="12">
        <v>4.7156219075</v>
      </c>
      <c r="B100" s="12" t="s">
        <v>289</v>
      </c>
      <c r="C100" s="12">
        <v>16976.238867</v>
      </c>
      <c r="D100" s="12">
        <v>180.0</v>
      </c>
      <c r="G100" s="12">
        <v>3.3461412925</v>
      </c>
      <c r="H100" s="12" t="s">
        <v>289</v>
      </c>
      <c r="I100" s="12">
        <v>12046.108653</v>
      </c>
      <c r="K100" s="12">
        <f t="shared" si="3"/>
        <v>92</v>
      </c>
      <c r="L100" s="12">
        <f t="shared" si="1"/>
        <v>4750.130214</v>
      </c>
    </row>
    <row r="101">
      <c r="A101" s="12">
        <v>4.7656219075</v>
      </c>
      <c r="B101" s="12" t="s">
        <v>290</v>
      </c>
      <c r="C101" s="12">
        <v>17156.238867</v>
      </c>
      <c r="D101" s="12">
        <v>180.0</v>
      </c>
      <c r="G101" s="12">
        <v>3.35079374305555</v>
      </c>
      <c r="H101" s="12" t="s">
        <v>290</v>
      </c>
      <c r="I101" s="12">
        <v>12062.8574749999</v>
      </c>
      <c r="K101" s="12">
        <f t="shared" si="3"/>
        <v>93</v>
      </c>
      <c r="L101" s="12">
        <f t="shared" si="1"/>
        <v>4913.381392</v>
      </c>
    </row>
    <row r="102">
      <c r="A102" s="12">
        <v>4.8156219075</v>
      </c>
      <c r="B102" s="12" t="s">
        <v>291</v>
      </c>
      <c r="C102" s="12">
        <v>17336.238867</v>
      </c>
      <c r="D102" s="12">
        <v>180.0</v>
      </c>
      <c r="G102" s="12">
        <v>3.38781711222222</v>
      </c>
      <c r="H102" s="12" t="s">
        <v>291</v>
      </c>
      <c r="I102" s="12">
        <v>12196.1416039999</v>
      </c>
      <c r="K102" s="12">
        <f t="shared" si="3"/>
        <v>94</v>
      </c>
      <c r="L102" s="12">
        <f t="shared" si="1"/>
        <v>4960.097263</v>
      </c>
    </row>
    <row r="103">
      <c r="A103" s="12">
        <v>4.8656219075</v>
      </c>
      <c r="B103" s="12" t="s">
        <v>292</v>
      </c>
      <c r="C103" s="12">
        <v>17516.238867</v>
      </c>
      <c r="D103" s="12">
        <v>180.0</v>
      </c>
      <c r="G103" s="12">
        <v>3.39330479138888</v>
      </c>
      <c r="H103" s="12" t="s">
        <v>292</v>
      </c>
      <c r="I103" s="12">
        <v>12215.897249</v>
      </c>
      <c r="K103" s="12">
        <f t="shared" si="3"/>
        <v>95</v>
      </c>
      <c r="L103" s="12">
        <f t="shared" si="1"/>
        <v>5120.341618</v>
      </c>
    </row>
    <row r="104">
      <c r="A104" s="12">
        <v>4.9156219075</v>
      </c>
      <c r="B104" s="12" t="s">
        <v>293</v>
      </c>
      <c r="C104" s="12">
        <v>17696.238867</v>
      </c>
      <c r="D104" s="12">
        <v>180.0</v>
      </c>
      <c r="G104" s="12">
        <v>3.41827177916666</v>
      </c>
      <c r="H104" s="12" t="s">
        <v>293</v>
      </c>
      <c r="I104" s="12">
        <v>12305.778405</v>
      </c>
      <c r="K104" s="12">
        <f t="shared" si="3"/>
        <v>96</v>
      </c>
      <c r="L104" s="12">
        <f t="shared" si="1"/>
        <v>5210.460462</v>
      </c>
    </row>
    <row r="105">
      <c r="A105" s="12">
        <v>4.9656219075</v>
      </c>
      <c r="B105" s="12" t="s">
        <v>294</v>
      </c>
      <c r="C105" s="12">
        <v>17876.238867</v>
      </c>
      <c r="D105" s="12">
        <v>180.0</v>
      </c>
      <c r="G105" s="12">
        <v>3.41865453249999</v>
      </c>
      <c r="H105" s="12" t="s">
        <v>294</v>
      </c>
      <c r="I105" s="12">
        <v>12307.1563169999</v>
      </c>
      <c r="K105" s="12">
        <f t="shared" si="3"/>
        <v>97</v>
      </c>
      <c r="L105" s="12">
        <f t="shared" si="1"/>
        <v>5389.08255</v>
      </c>
    </row>
    <row r="106">
      <c r="A106" s="12">
        <v>5.0156219075</v>
      </c>
      <c r="B106" s="12" t="s">
        <v>295</v>
      </c>
      <c r="C106" s="12">
        <v>18056.238867</v>
      </c>
      <c r="D106" s="12">
        <v>180.0</v>
      </c>
      <c r="G106" s="12">
        <v>3.53725061666666</v>
      </c>
      <c r="H106" s="12" t="s">
        <v>295</v>
      </c>
      <c r="I106" s="12">
        <v>12734.1022199999</v>
      </c>
      <c r="K106" s="12">
        <f t="shared" si="3"/>
        <v>98</v>
      </c>
      <c r="L106" s="12">
        <f t="shared" si="1"/>
        <v>5142.136647</v>
      </c>
    </row>
    <row r="107">
      <c r="A107" s="12">
        <v>5.0656219075</v>
      </c>
      <c r="B107" s="12" t="s">
        <v>296</v>
      </c>
      <c r="C107" s="12">
        <v>18236.238867</v>
      </c>
      <c r="D107" s="12">
        <v>180.0</v>
      </c>
      <c r="G107" s="12">
        <v>3.57131479638888</v>
      </c>
      <c r="H107" s="12" t="s">
        <v>296</v>
      </c>
      <c r="I107" s="12">
        <v>12856.733267</v>
      </c>
      <c r="K107" s="12">
        <f t="shared" si="3"/>
        <v>99</v>
      </c>
      <c r="L107" s="12">
        <f t="shared" si="1"/>
        <v>5199.5056</v>
      </c>
    </row>
    <row r="108">
      <c r="A108" s="12">
        <v>5.1156219075</v>
      </c>
      <c r="B108" s="12" t="s">
        <v>297</v>
      </c>
      <c r="C108" s="12">
        <v>18416.238867</v>
      </c>
      <c r="D108" s="12">
        <v>180.0</v>
      </c>
      <c r="G108" s="12">
        <v>3.5951210725</v>
      </c>
      <c r="H108" s="12" t="s">
        <v>297</v>
      </c>
      <c r="I108" s="12">
        <v>12942.435861</v>
      </c>
      <c r="K108" s="12">
        <f t="shared" si="3"/>
        <v>100</v>
      </c>
      <c r="L108" s="12">
        <f t="shared" si="1"/>
        <v>5293.803006</v>
      </c>
    </row>
    <row r="109">
      <c r="A109" s="12">
        <v>5.1656219075</v>
      </c>
      <c r="B109" s="12" t="s">
        <v>298</v>
      </c>
      <c r="C109" s="12">
        <v>18596.238867</v>
      </c>
      <c r="D109" s="12">
        <v>180.0</v>
      </c>
      <c r="G109" s="12">
        <v>3.62761618166666</v>
      </c>
      <c r="H109" s="12" t="s">
        <v>298</v>
      </c>
      <c r="I109" s="12">
        <v>13059.418254</v>
      </c>
      <c r="K109" s="12">
        <f t="shared" si="3"/>
        <v>101</v>
      </c>
      <c r="L109" s="12">
        <f t="shared" si="1"/>
        <v>5356.820613</v>
      </c>
    </row>
    <row r="110">
      <c r="A110" s="12">
        <v>5.2156219075</v>
      </c>
      <c r="B110" s="12" t="s">
        <v>299</v>
      </c>
      <c r="C110" s="12">
        <v>18776.238867</v>
      </c>
      <c r="D110" s="12">
        <v>180.0</v>
      </c>
      <c r="G110" s="12">
        <v>3.71735162583333</v>
      </c>
      <c r="H110" s="12" t="s">
        <v>299</v>
      </c>
      <c r="I110" s="12">
        <v>13382.465853</v>
      </c>
      <c r="K110" s="12">
        <f t="shared" si="3"/>
        <v>102</v>
      </c>
      <c r="L110" s="12">
        <f t="shared" si="1"/>
        <v>5213.773014</v>
      </c>
    </row>
    <row r="111">
      <c r="A111" s="12">
        <v>5.2656219075</v>
      </c>
      <c r="B111" s="12" t="s">
        <v>300</v>
      </c>
      <c r="C111" s="12">
        <v>18956.238867</v>
      </c>
      <c r="D111" s="12">
        <v>180.0</v>
      </c>
      <c r="G111" s="12">
        <v>3.74361684083333</v>
      </c>
      <c r="H111" s="12" t="s">
        <v>300</v>
      </c>
      <c r="I111" s="12">
        <v>13477.020627</v>
      </c>
      <c r="K111" s="12">
        <f t="shared" si="3"/>
        <v>103</v>
      </c>
      <c r="L111" s="12">
        <f t="shared" si="1"/>
        <v>5299.21824</v>
      </c>
    </row>
    <row r="112">
      <c r="A112" s="12">
        <v>5.3156219075</v>
      </c>
      <c r="B112" s="12" t="s">
        <v>301</v>
      </c>
      <c r="C112" s="12">
        <v>19136.238867</v>
      </c>
      <c r="D112" s="12">
        <v>180.0</v>
      </c>
      <c r="G112" s="12">
        <v>3.80879885805555</v>
      </c>
      <c r="H112" s="12" t="s">
        <v>301</v>
      </c>
      <c r="I112" s="12">
        <v>13711.675889</v>
      </c>
      <c r="K112" s="12">
        <f t="shared" si="3"/>
        <v>104</v>
      </c>
      <c r="L112" s="12">
        <f t="shared" si="1"/>
        <v>5244.562978</v>
      </c>
    </row>
    <row r="113">
      <c r="A113" s="12">
        <v>5.3656219075</v>
      </c>
      <c r="B113" s="12" t="s">
        <v>302</v>
      </c>
      <c r="C113" s="12">
        <v>19316.238867</v>
      </c>
      <c r="D113" s="12">
        <v>180.0</v>
      </c>
      <c r="G113" s="12">
        <v>3.84732067444444</v>
      </c>
      <c r="H113" s="12" t="s">
        <v>302</v>
      </c>
      <c r="I113" s="12">
        <v>13850.3544279999</v>
      </c>
      <c r="K113" s="12">
        <f t="shared" si="3"/>
        <v>105</v>
      </c>
      <c r="L113" s="12">
        <f t="shared" si="1"/>
        <v>5285.884439</v>
      </c>
    </row>
    <row r="114">
      <c r="A114" s="12">
        <v>5.4156219075</v>
      </c>
      <c r="B114" s="12" t="s">
        <v>303</v>
      </c>
      <c r="C114" s="12">
        <v>19496.238867</v>
      </c>
      <c r="D114" s="12">
        <v>180.0</v>
      </c>
      <c r="G114" s="12">
        <v>3.87648930833333</v>
      </c>
      <c r="H114" s="12" t="s">
        <v>303</v>
      </c>
      <c r="I114" s="12">
        <v>13955.3615099999</v>
      </c>
      <c r="K114" s="12">
        <f t="shared" si="3"/>
        <v>106</v>
      </c>
      <c r="L114" s="12">
        <f t="shared" si="1"/>
        <v>5360.877357</v>
      </c>
    </row>
    <row r="115">
      <c r="A115" s="12">
        <v>5.4656219075</v>
      </c>
      <c r="B115" s="12" t="s">
        <v>304</v>
      </c>
      <c r="C115" s="12">
        <v>19676.238867</v>
      </c>
      <c r="D115" s="12">
        <v>180.0</v>
      </c>
      <c r="G115" s="12">
        <v>3.88283745083333</v>
      </c>
      <c r="H115" s="12" t="s">
        <v>304</v>
      </c>
      <c r="I115" s="12">
        <v>13978.214823</v>
      </c>
      <c r="K115" s="12">
        <f t="shared" si="3"/>
        <v>107</v>
      </c>
      <c r="L115" s="12">
        <f t="shared" si="1"/>
        <v>5518.024044</v>
      </c>
    </row>
    <row r="116">
      <c r="A116" s="12">
        <v>5.5156219075</v>
      </c>
      <c r="B116" s="12" t="s">
        <v>305</v>
      </c>
      <c r="C116" s="12">
        <v>19856.238867</v>
      </c>
      <c r="D116" s="12">
        <v>180.0</v>
      </c>
      <c r="G116" s="12">
        <v>4.02917878166666</v>
      </c>
      <c r="H116" s="12" t="s">
        <v>305</v>
      </c>
      <c r="I116" s="12">
        <v>14505.0436139999</v>
      </c>
      <c r="K116" s="12">
        <f t="shared" si="3"/>
        <v>108</v>
      </c>
      <c r="L116" s="12">
        <f t="shared" si="1"/>
        <v>5171.195253</v>
      </c>
    </row>
    <row r="117">
      <c r="A117" s="12">
        <v>5.5656219075</v>
      </c>
      <c r="B117" s="12" t="s">
        <v>306</v>
      </c>
      <c r="C117" s="12">
        <v>20036.238867</v>
      </c>
      <c r="D117" s="12">
        <v>180.0</v>
      </c>
      <c r="G117" s="12">
        <v>4.07889085277777</v>
      </c>
      <c r="H117" s="12" t="s">
        <v>306</v>
      </c>
      <c r="I117" s="12">
        <v>14684.00707</v>
      </c>
      <c r="K117" s="12">
        <f t="shared" si="3"/>
        <v>109</v>
      </c>
      <c r="L117" s="12">
        <f t="shared" si="1"/>
        <v>5172.231797</v>
      </c>
    </row>
    <row r="118">
      <c r="A118" s="12">
        <v>5.6156219075</v>
      </c>
      <c r="B118" s="12" t="s">
        <v>307</v>
      </c>
      <c r="C118" s="12">
        <v>20216.238867</v>
      </c>
      <c r="D118" s="12">
        <v>180.0</v>
      </c>
      <c r="G118" s="12">
        <v>4.12141176555555</v>
      </c>
      <c r="H118" s="12" t="s">
        <v>307</v>
      </c>
      <c r="I118" s="12">
        <v>14837.0823559999</v>
      </c>
      <c r="K118" s="12">
        <f t="shared" si="3"/>
        <v>110</v>
      </c>
      <c r="L118" s="12">
        <f t="shared" si="1"/>
        <v>5199.156511</v>
      </c>
    </row>
    <row r="119">
      <c r="A119" s="12">
        <v>5.6656219075</v>
      </c>
      <c r="B119" s="12" t="s">
        <v>308</v>
      </c>
      <c r="C119" s="12">
        <v>20396.238867</v>
      </c>
      <c r="D119" s="12">
        <v>180.0</v>
      </c>
      <c r="G119" s="12">
        <v>4.17348805694444</v>
      </c>
      <c r="H119" s="12" t="s">
        <v>308</v>
      </c>
      <c r="I119" s="12">
        <v>15024.5570049999</v>
      </c>
      <c r="K119" s="12">
        <f t="shared" si="3"/>
        <v>111</v>
      </c>
      <c r="L119" s="12">
        <f t="shared" si="1"/>
        <v>5191.681862</v>
      </c>
    </row>
    <row r="120">
      <c r="A120" s="12">
        <v>5.7156219075</v>
      </c>
      <c r="B120" s="12" t="s">
        <v>309</v>
      </c>
      <c r="C120" s="12">
        <v>20576.238867</v>
      </c>
      <c r="D120" s="12">
        <v>180.0</v>
      </c>
      <c r="G120" s="12">
        <v>4.19910005388888</v>
      </c>
      <c r="H120" s="12" t="s">
        <v>309</v>
      </c>
      <c r="I120" s="12">
        <v>15116.7601939999</v>
      </c>
      <c r="K120" s="12">
        <f t="shared" si="3"/>
        <v>112</v>
      </c>
      <c r="L120" s="12">
        <f t="shared" si="1"/>
        <v>5279.478673</v>
      </c>
    </row>
    <row r="121">
      <c r="A121" s="12">
        <v>5.7656219075</v>
      </c>
      <c r="B121" s="12" t="s">
        <v>310</v>
      </c>
      <c r="C121" s="12">
        <v>20756.238867</v>
      </c>
      <c r="D121" s="12">
        <v>180.0</v>
      </c>
      <c r="G121" s="12">
        <v>4.25695007055555</v>
      </c>
      <c r="H121" s="12" t="s">
        <v>310</v>
      </c>
      <c r="I121" s="12">
        <v>15325.0202539999</v>
      </c>
      <c r="K121" s="12">
        <f t="shared" si="3"/>
        <v>113</v>
      </c>
      <c r="L121" s="12">
        <f t="shared" si="1"/>
        <v>5251.218613</v>
      </c>
    </row>
    <row r="122">
      <c r="A122" s="12">
        <v>5.8156219075</v>
      </c>
      <c r="B122" s="12" t="s">
        <v>311</v>
      </c>
      <c r="C122" s="12">
        <v>20936.238867</v>
      </c>
      <c r="D122" s="12">
        <v>180.0</v>
      </c>
      <c r="G122" s="12">
        <v>4.30910850805555</v>
      </c>
      <c r="H122" s="12" t="s">
        <v>311</v>
      </c>
      <c r="I122" s="12">
        <v>15512.790629</v>
      </c>
      <c r="K122" s="12">
        <f t="shared" si="3"/>
        <v>114</v>
      </c>
      <c r="L122" s="12">
        <f t="shared" si="1"/>
        <v>5243.448238</v>
      </c>
    </row>
    <row r="123">
      <c r="A123" s="12">
        <v>5.8656219075</v>
      </c>
      <c r="B123" s="12" t="s">
        <v>312</v>
      </c>
      <c r="C123" s="12">
        <v>21116.238867</v>
      </c>
      <c r="D123" s="12">
        <v>180.0</v>
      </c>
      <c r="G123" s="12">
        <v>4.33623242</v>
      </c>
      <c r="H123" s="12" t="s">
        <v>312</v>
      </c>
      <c r="I123" s="12">
        <v>15610.436712</v>
      </c>
      <c r="K123" s="12">
        <f t="shared" si="3"/>
        <v>115</v>
      </c>
      <c r="L123" s="12">
        <f t="shared" si="1"/>
        <v>5325.802155</v>
      </c>
    </row>
    <row r="124">
      <c r="A124" s="12">
        <v>5.9156219075</v>
      </c>
      <c r="B124" s="12" t="s">
        <v>313</v>
      </c>
      <c r="C124" s="12">
        <v>21296.238867</v>
      </c>
      <c r="D124" s="12">
        <v>180.0</v>
      </c>
      <c r="G124" s="12">
        <v>4.36869540805555</v>
      </c>
      <c r="H124" s="12" t="s">
        <v>313</v>
      </c>
      <c r="I124" s="12">
        <v>15727.3034689999</v>
      </c>
      <c r="K124" s="12">
        <f t="shared" si="3"/>
        <v>116</v>
      </c>
      <c r="L124" s="12">
        <f t="shared" si="1"/>
        <v>5388.935398</v>
      </c>
    </row>
    <row r="125">
      <c r="A125" s="37">
        <v>5.9656219075</v>
      </c>
      <c r="B125" s="37" t="s">
        <v>314</v>
      </c>
      <c r="C125" s="37">
        <v>21476.238867</v>
      </c>
      <c r="D125" s="37">
        <v>180.0</v>
      </c>
      <c r="E125" s="37"/>
      <c r="F125" s="37"/>
      <c r="G125" s="37">
        <v>4.42172539055555</v>
      </c>
      <c r="H125" s="37" t="s">
        <v>314</v>
      </c>
      <c r="I125" s="37">
        <v>15918.2114059999</v>
      </c>
      <c r="J125" s="37"/>
      <c r="K125" s="12">
        <f t="shared" si="3"/>
        <v>117</v>
      </c>
      <c r="L125" s="37">
        <f t="shared" si="1"/>
        <v>5378.027461</v>
      </c>
    </row>
    <row r="126">
      <c r="C126" s="12">
        <v>21600.0</v>
      </c>
      <c r="G126" s="12">
        <v>4.42604617916666</v>
      </c>
      <c r="H126" s="12" t="s">
        <v>315</v>
      </c>
      <c r="I126" s="12">
        <v>15933.766245</v>
      </c>
      <c r="K126" s="12">
        <f t="shared" si="3"/>
        <v>118</v>
      </c>
      <c r="L126" s="12">
        <f t="shared" si="1"/>
        <v>5666.233755</v>
      </c>
    </row>
    <row r="127">
      <c r="G127" s="12">
        <v>4.43819482527777</v>
      </c>
      <c r="H127" s="12" t="s">
        <v>316</v>
      </c>
      <c r="I127" s="12">
        <v>15977.5013709999</v>
      </c>
      <c r="K127" s="12">
        <f t="shared" si="3"/>
        <v>119</v>
      </c>
      <c r="L127" s="12">
        <f t="shared" si="1"/>
        <v>-15977.50137</v>
      </c>
    </row>
    <row r="128">
      <c r="G128" s="12">
        <v>4.46121896666666</v>
      </c>
      <c r="H128" s="12" t="s">
        <v>317</v>
      </c>
      <c r="I128" s="12">
        <v>16060.38828</v>
      </c>
      <c r="K128" s="12">
        <f t="shared" si="3"/>
        <v>120</v>
      </c>
      <c r="L128" s="12">
        <f t="shared" si="1"/>
        <v>-16060.38828</v>
      </c>
    </row>
    <row r="129">
      <c r="G129" s="12">
        <v>4.51442319333333</v>
      </c>
      <c r="H129" s="12" t="s">
        <v>318</v>
      </c>
      <c r="I129" s="12">
        <v>16251.923496</v>
      </c>
      <c r="K129" s="12">
        <f t="shared" si="3"/>
        <v>121</v>
      </c>
      <c r="L129" s="12">
        <f t="shared" si="1"/>
        <v>-16251.9235</v>
      </c>
    </row>
    <row r="130">
      <c r="G130" s="12">
        <v>4.51584344972222</v>
      </c>
      <c r="H130" s="12" t="s">
        <v>319</v>
      </c>
      <c r="I130" s="12">
        <v>16257.036419</v>
      </c>
      <c r="K130" s="12">
        <f t="shared" si="3"/>
        <v>122</v>
      </c>
      <c r="L130" s="12">
        <f t="shared" si="1"/>
        <v>-16257.03642</v>
      </c>
    </row>
    <row r="131">
      <c r="G131" s="12">
        <v>4.51591916416666</v>
      </c>
      <c r="H131" s="12" t="s">
        <v>320</v>
      </c>
      <c r="I131" s="12">
        <v>16257.3089909999</v>
      </c>
      <c r="K131" s="12">
        <f t="shared" si="3"/>
        <v>123</v>
      </c>
      <c r="L131" s="12">
        <f t="shared" si="1"/>
        <v>-16257.30899</v>
      </c>
    </row>
    <row r="132">
      <c r="G132" s="12">
        <v>4.57933845888888</v>
      </c>
      <c r="H132" s="12" t="s">
        <v>321</v>
      </c>
      <c r="I132" s="12">
        <v>16485.618452</v>
      </c>
      <c r="K132" s="12">
        <f t="shared" si="3"/>
        <v>124</v>
      </c>
      <c r="L132" s="12">
        <f t="shared" si="1"/>
        <v>-16485.61845</v>
      </c>
    </row>
    <row r="133">
      <c r="G133" s="12">
        <v>4.59856245888888</v>
      </c>
      <c r="H133" s="12" t="s">
        <v>322</v>
      </c>
      <c r="I133" s="12">
        <v>16554.8248519999</v>
      </c>
      <c r="K133" s="12">
        <f t="shared" si="3"/>
        <v>125</v>
      </c>
      <c r="L133" s="12">
        <f t="shared" si="1"/>
        <v>-16554.82485</v>
      </c>
    </row>
    <row r="134">
      <c r="G134" s="12">
        <v>4.63002523</v>
      </c>
      <c r="H134" s="12" t="s">
        <v>323</v>
      </c>
      <c r="I134" s="12">
        <v>16668.090828</v>
      </c>
      <c r="K134" s="12">
        <f t="shared" si="3"/>
        <v>126</v>
      </c>
      <c r="L134" s="12">
        <f t="shared" si="1"/>
        <v>-16668.09083</v>
      </c>
    </row>
    <row r="135">
      <c r="G135" s="12">
        <v>4.65909762055555</v>
      </c>
      <c r="H135" s="12" t="s">
        <v>324</v>
      </c>
      <c r="I135" s="12">
        <v>16772.7514339999</v>
      </c>
      <c r="K135" s="12">
        <f t="shared" si="3"/>
        <v>127</v>
      </c>
      <c r="L135" s="12">
        <f t="shared" si="1"/>
        <v>-16772.75143</v>
      </c>
    </row>
    <row r="136">
      <c r="G136" s="12">
        <v>4.67332468083333</v>
      </c>
      <c r="H136" s="12" t="s">
        <v>325</v>
      </c>
      <c r="I136" s="12">
        <v>16823.9688509999</v>
      </c>
      <c r="K136" s="12">
        <f t="shared" si="3"/>
        <v>128</v>
      </c>
      <c r="L136" s="12">
        <f t="shared" si="1"/>
        <v>-16823.96885</v>
      </c>
    </row>
    <row r="137">
      <c r="G137" s="12">
        <v>4.69581248861111</v>
      </c>
      <c r="H137" s="12" t="s">
        <v>326</v>
      </c>
      <c r="I137" s="12">
        <v>16904.924959</v>
      </c>
      <c r="K137" s="12">
        <f t="shared" si="3"/>
        <v>129</v>
      </c>
      <c r="L137" s="12">
        <f t="shared" si="1"/>
        <v>-16904.92496</v>
      </c>
    </row>
    <row r="138">
      <c r="G138" s="12">
        <v>4.70375421</v>
      </c>
      <c r="H138" s="12" t="s">
        <v>327</v>
      </c>
      <c r="I138" s="12">
        <v>16933.5151559999</v>
      </c>
      <c r="K138" s="12">
        <f t="shared" si="3"/>
        <v>130</v>
      </c>
      <c r="L138" s="12">
        <f t="shared" si="1"/>
        <v>-16933.51516</v>
      </c>
    </row>
    <row r="139">
      <c r="G139" s="12">
        <v>4.74423539888888</v>
      </c>
      <c r="H139" s="12" t="s">
        <v>328</v>
      </c>
      <c r="I139" s="12">
        <v>17079.2474359999</v>
      </c>
      <c r="K139" s="12">
        <f t="shared" si="3"/>
        <v>131</v>
      </c>
      <c r="L139" s="12">
        <f t="shared" si="1"/>
        <v>-17079.24744</v>
      </c>
    </row>
    <row r="140">
      <c r="G140" s="12">
        <v>4.80667397333333</v>
      </c>
      <c r="H140" s="12" t="s">
        <v>329</v>
      </c>
      <c r="I140" s="12">
        <v>17304.026304</v>
      </c>
      <c r="K140" s="12">
        <f t="shared" si="3"/>
        <v>132</v>
      </c>
      <c r="L140" s="12">
        <f t="shared" si="1"/>
        <v>-17304.0263</v>
      </c>
    </row>
    <row r="141">
      <c r="G141" s="12">
        <v>4.88822259694444</v>
      </c>
      <c r="H141" s="12" t="s">
        <v>330</v>
      </c>
      <c r="I141" s="12">
        <v>17597.601349</v>
      </c>
      <c r="K141" s="12">
        <f t="shared" si="3"/>
        <v>133</v>
      </c>
      <c r="L141" s="12">
        <f t="shared" si="1"/>
        <v>-17597.60135</v>
      </c>
    </row>
    <row r="142">
      <c r="G142" s="12">
        <v>4.92256194944444</v>
      </c>
      <c r="H142" s="12" t="s">
        <v>331</v>
      </c>
      <c r="I142" s="12">
        <v>17721.223018</v>
      </c>
      <c r="K142" s="12">
        <f t="shared" si="3"/>
        <v>134</v>
      </c>
      <c r="L142" s="12">
        <f t="shared" si="1"/>
        <v>-17721.22302</v>
      </c>
    </row>
    <row r="143">
      <c r="G143" s="12">
        <v>4.94593349</v>
      </c>
      <c r="H143" s="12" t="s">
        <v>332</v>
      </c>
      <c r="I143" s="12">
        <v>17805.360564</v>
      </c>
      <c r="K143" s="12">
        <f t="shared" si="3"/>
        <v>135</v>
      </c>
      <c r="L143" s="12">
        <f t="shared" si="1"/>
        <v>-17805.36056</v>
      </c>
    </row>
    <row r="144">
      <c r="G144" s="12">
        <v>5.00329416055555</v>
      </c>
      <c r="H144" s="12" t="s">
        <v>333</v>
      </c>
      <c r="I144" s="12">
        <v>18011.858978</v>
      </c>
      <c r="K144" s="12">
        <f t="shared" si="3"/>
        <v>136</v>
      </c>
      <c r="L144" s="12">
        <f t="shared" si="1"/>
        <v>-18011.85898</v>
      </c>
    </row>
    <row r="145">
      <c r="G145" s="12">
        <v>5.01654311027777</v>
      </c>
      <c r="H145" s="12" t="s">
        <v>334</v>
      </c>
      <c r="I145" s="12">
        <v>18059.5551969999</v>
      </c>
      <c r="K145" s="12">
        <f t="shared" si="3"/>
        <v>137</v>
      </c>
      <c r="L145" s="12">
        <f t="shared" si="1"/>
        <v>-18059.5552</v>
      </c>
    </row>
    <row r="146">
      <c r="G146" s="12">
        <v>5.01843192416666</v>
      </c>
      <c r="H146" s="12" t="s">
        <v>335</v>
      </c>
      <c r="I146" s="12">
        <v>18066.354927</v>
      </c>
      <c r="K146" s="12">
        <f t="shared" si="3"/>
        <v>138</v>
      </c>
      <c r="L146" s="12">
        <f t="shared" si="1"/>
        <v>-18066.35493</v>
      </c>
    </row>
    <row r="147">
      <c r="G147" s="12">
        <v>5.03017401555555</v>
      </c>
      <c r="H147" s="12" t="s">
        <v>336</v>
      </c>
      <c r="I147" s="12">
        <v>18108.6264559999</v>
      </c>
      <c r="K147" s="12">
        <f t="shared" si="3"/>
        <v>139</v>
      </c>
      <c r="L147" s="12">
        <f t="shared" si="1"/>
        <v>-18108.62646</v>
      </c>
    </row>
    <row r="148">
      <c r="G148" s="12">
        <v>5.04109202166666</v>
      </c>
      <c r="H148" s="12" t="s">
        <v>337</v>
      </c>
      <c r="I148" s="12">
        <v>18147.931278</v>
      </c>
      <c r="K148" s="12">
        <f t="shared" si="3"/>
        <v>140</v>
      </c>
      <c r="L148" s="12">
        <f t="shared" si="1"/>
        <v>-18147.93128</v>
      </c>
    </row>
    <row r="149">
      <c r="G149" s="12">
        <v>5.05715491416666</v>
      </c>
      <c r="H149" s="12" t="s">
        <v>338</v>
      </c>
      <c r="I149" s="12">
        <v>18205.757691</v>
      </c>
      <c r="K149" s="12">
        <f t="shared" si="3"/>
        <v>141</v>
      </c>
      <c r="L149" s="12">
        <f t="shared" si="1"/>
        <v>-18205.75769</v>
      </c>
    </row>
    <row r="150">
      <c r="G150" s="12">
        <v>5.08871462027777</v>
      </c>
      <c r="H150" s="12" t="s">
        <v>339</v>
      </c>
      <c r="I150" s="12">
        <v>18319.372633</v>
      </c>
      <c r="K150" s="12">
        <f t="shared" si="3"/>
        <v>142</v>
      </c>
      <c r="L150" s="12">
        <f t="shared" si="1"/>
        <v>-18319.37263</v>
      </c>
    </row>
    <row r="151">
      <c r="G151" s="12">
        <v>5.12506884138888</v>
      </c>
      <c r="H151" s="12" t="s">
        <v>340</v>
      </c>
      <c r="I151" s="12">
        <v>18450.247829</v>
      </c>
      <c r="K151" s="12">
        <f t="shared" si="3"/>
        <v>143</v>
      </c>
      <c r="L151" s="12">
        <f t="shared" si="1"/>
        <v>-18450.24783</v>
      </c>
    </row>
    <row r="152">
      <c r="G152" s="12">
        <v>5.15064063361111</v>
      </c>
      <c r="H152" s="12" t="s">
        <v>341</v>
      </c>
      <c r="I152" s="12">
        <v>18542.3062809999</v>
      </c>
      <c r="K152" s="12">
        <f t="shared" si="3"/>
        <v>144</v>
      </c>
      <c r="L152" s="12">
        <f t="shared" si="1"/>
        <v>-18542.30628</v>
      </c>
    </row>
    <row r="153">
      <c r="G153" s="12">
        <v>5.16509507694444</v>
      </c>
      <c r="H153" s="12" t="s">
        <v>342</v>
      </c>
      <c r="I153" s="12">
        <v>18594.342277</v>
      </c>
      <c r="K153" s="12">
        <f t="shared" si="3"/>
        <v>145</v>
      </c>
      <c r="L153" s="12">
        <f t="shared" si="1"/>
        <v>-18594.34228</v>
      </c>
    </row>
    <row r="154">
      <c r="G154" s="12">
        <v>5.17427071777777</v>
      </c>
      <c r="H154" s="12" t="s">
        <v>343</v>
      </c>
      <c r="I154" s="12">
        <v>18627.3745839999</v>
      </c>
      <c r="K154" s="12">
        <f t="shared" si="3"/>
        <v>146</v>
      </c>
      <c r="L154" s="12">
        <f t="shared" si="1"/>
        <v>-18627.37458</v>
      </c>
    </row>
    <row r="155">
      <c r="G155" s="12">
        <v>5.19530734388888</v>
      </c>
      <c r="H155" s="12" t="s">
        <v>344</v>
      </c>
      <c r="I155" s="12">
        <v>18703.106438</v>
      </c>
      <c r="K155" s="12">
        <f t="shared" si="3"/>
        <v>147</v>
      </c>
      <c r="L155" s="12">
        <f t="shared" si="1"/>
        <v>-18703.10644</v>
      </c>
    </row>
    <row r="156">
      <c r="G156" s="12">
        <v>5.19996369472222</v>
      </c>
      <c r="H156" s="12" t="s">
        <v>345</v>
      </c>
      <c r="I156" s="12">
        <v>18719.869301</v>
      </c>
      <c r="K156" s="12">
        <f t="shared" si="3"/>
        <v>148</v>
      </c>
      <c r="L156" s="12">
        <f t="shared" si="1"/>
        <v>-18719.8693</v>
      </c>
    </row>
    <row r="157">
      <c r="G157" s="12">
        <v>5.25014608305555</v>
      </c>
      <c r="H157" s="12" t="s">
        <v>346</v>
      </c>
      <c r="I157" s="12">
        <v>18900.525899</v>
      </c>
      <c r="K157" s="12">
        <f t="shared" si="3"/>
        <v>149</v>
      </c>
      <c r="L157" s="12">
        <f t="shared" si="1"/>
        <v>-18900.5259</v>
      </c>
    </row>
    <row r="158">
      <c r="G158" s="12">
        <v>5.25017909305555</v>
      </c>
      <c r="H158" s="12" t="s">
        <v>347</v>
      </c>
      <c r="I158" s="12">
        <v>18900.6447349999</v>
      </c>
      <c r="K158" s="12">
        <f t="shared" si="3"/>
        <v>150</v>
      </c>
      <c r="L158" s="12">
        <f t="shared" si="1"/>
        <v>-18900.64473</v>
      </c>
    </row>
    <row r="159">
      <c r="G159" s="12">
        <v>5.26633338194444</v>
      </c>
      <c r="H159" s="12" t="s">
        <v>348</v>
      </c>
      <c r="I159" s="12">
        <v>18958.800175</v>
      </c>
      <c r="K159" s="12">
        <f t="shared" si="3"/>
        <v>151</v>
      </c>
      <c r="L159" s="12">
        <f t="shared" si="1"/>
        <v>-18958.80018</v>
      </c>
    </row>
    <row r="160">
      <c r="G160" s="12">
        <v>5.34723948805555</v>
      </c>
      <c r="H160" s="12" t="s">
        <v>349</v>
      </c>
      <c r="I160" s="12">
        <v>19250.062157</v>
      </c>
      <c r="K160" s="12">
        <f t="shared" si="3"/>
        <v>152</v>
      </c>
      <c r="L160" s="12">
        <f t="shared" si="1"/>
        <v>-19250.06216</v>
      </c>
    </row>
    <row r="161">
      <c r="G161" s="12">
        <v>5.35523036611111</v>
      </c>
      <c r="H161" s="12" t="s">
        <v>350</v>
      </c>
      <c r="I161" s="12">
        <v>19278.829318</v>
      </c>
      <c r="K161" s="12">
        <f t="shared" si="3"/>
        <v>153</v>
      </c>
      <c r="L161" s="12">
        <f t="shared" si="1"/>
        <v>-19278.82932</v>
      </c>
    </row>
    <row r="162">
      <c r="G162" s="12">
        <v>5.36568850194444</v>
      </c>
      <c r="H162" s="12" t="s">
        <v>351</v>
      </c>
      <c r="I162" s="12">
        <v>19316.478607</v>
      </c>
      <c r="K162" s="12">
        <f t="shared" si="3"/>
        <v>154</v>
      </c>
      <c r="L162" s="12">
        <f t="shared" si="1"/>
        <v>-19316.47861</v>
      </c>
    </row>
    <row r="163">
      <c r="G163" s="12">
        <v>5.36719179972222</v>
      </c>
      <c r="H163" s="12" t="s">
        <v>352</v>
      </c>
      <c r="I163" s="12">
        <v>19321.8904789999</v>
      </c>
      <c r="K163" s="12">
        <f t="shared" si="3"/>
        <v>155</v>
      </c>
      <c r="L163" s="12">
        <f t="shared" si="1"/>
        <v>-19321.89048</v>
      </c>
    </row>
    <row r="164">
      <c r="G164" s="12">
        <v>5.37344497611111</v>
      </c>
      <c r="H164" s="12" t="s">
        <v>353</v>
      </c>
      <c r="I164" s="12">
        <v>19344.401914</v>
      </c>
      <c r="K164" s="12">
        <f t="shared" si="3"/>
        <v>156</v>
      </c>
      <c r="L164" s="12">
        <f t="shared" si="1"/>
        <v>-19344.40191</v>
      </c>
    </row>
    <row r="165">
      <c r="G165" s="12">
        <v>5.45079338916666</v>
      </c>
      <c r="H165" s="12" t="s">
        <v>354</v>
      </c>
      <c r="I165" s="12">
        <v>19622.856201</v>
      </c>
      <c r="K165" s="12">
        <f t="shared" si="3"/>
        <v>157</v>
      </c>
      <c r="L165" s="12">
        <f t="shared" si="1"/>
        <v>-19622.8562</v>
      </c>
    </row>
    <row r="166">
      <c r="G166" s="12">
        <v>5.48367091638888</v>
      </c>
      <c r="H166" s="12" t="s">
        <v>355</v>
      </c>
      <c r="I166" s="12">
        <v>19741.215299</v>
      </c>
      <c r="K166" s="12">
        <f t="shared" si="3"/>
        <v>158</v>
      </c>
      <c r="L166" s="12">
        <f t="shared" si="1"/>
        <v>-19741.2153</v>
      </c>
    </row>
    <row r="167">
      <c r="G167" s="12">
        <v>5.59327215305555</v>
      </c>
      <c r="H167" s="12" t="s">
        <v>356</v>
      </c>
      <c r="I167" s="12">
        <v>20135.779751</v>
      </c>
      <c r="K167" s="12">
        <f t="shared" si="3"/>
        <v>159</v>
      </c>
      <c r="L167" s="12">
        <f t="shared" si="1"/>
        <v>-20135.77975</v>
      </c>
    </row>
    <row r="168">
      <c r="G168" s="12">
        <v>5.73231749444444</v>
      </c>
      <c r="H168" s="12" t="s">
        <v>357</v>
      </c>
      <c r="I168" s="12">
        <v>20636.3429799999</v>
      </c>
      <c r="K168" s="12">
        <f t="shared" si="3"/>
        <v>160</v>
      </c>
      <c r="L168" s="12">
        <f t="shared" si="1"/>
        <v>-20636.34298</v>
      </c>
    </row>
    <row r="169">
      <c r="G169" s="12">
        <v>5.75162067777777</v>
      </c>
      <c r="H169" s="12" t="s">
        <v>358</v>
      </c>
      <c r="I169" s="12">
        <v>20705.83444</v>
      </c>
      <c r="K169" s="12">
        <f t="shared" si="3"/>
        <v>161</v>
      </c>
      <c r="L169" s="12">
        <f t="shared" si="1"/>
        <v>-20705.83444</v>
      </c>
    </row>
    <row r="170">
      <c r="G170" s="12">
        <v>5.78258572555555</v>
      </c>
      <c r="H170" s="12" t="s">
        <v>359</v>
      </c>
      <c r="I170" s="12">
        <v>20817.308612</v>
      </c>
      <c r="K170" s="12">
        <f t="shared" si="3"/>
        <v>162</v>
      </c>
      <c r="L170" s="12">
        <f t="shared" si="1"/>
        <v>-20817.30861</v>
      </c>
    </row>
    <row r="171">
      <c r="G171" s="12">
        <v>5.82710376166666</v>
      </c>
      <c r="H171" s="12" t="s">
        <v>360</v>
      </c>
      <c r="I171" s="12">
        <v>20977.573542</v>
      </c>
      <c r="K171" s="12">
        <f t="shared" si="3"/>
        <v>163</v>
      </c>
      <c r="L171" s="12">
        <f t="shared" si="1"/>
        <v>-20977.57354</v>
      </c>
    </row>
    <row r="172">
      <c r="G172" s="12">
        <v>5.84931624805555</v>
      </c>
      <c r="H172" s="12" t="s">
        <v>361</v>
      </c>
      <c r="I172" s="12">
        <v>21057.538493</v>
      </c>
      <c r="K172" s="12">
        <f t="shared" si="3"/>
        <v>164</v>
      </c>
      <c r="L172" s="12">
        <f t="shared" si="1"/>
        <v>-21057.53849</v>
      </c>
    </row>
    <row r="173">
      <c r="G173" s="12">
        <v>5.95701495555555</v>
      </c>
      <c r="H173" s="12" t="s">
        <v>362</v>
      </c>
      <c r="I173" s="12">
        <v>21445.2538399999</v>
      </c>
      <c r="K173" s="12">
        <f t="shared" si="3"/>
        <v>165</v>
      </c>
      <c r="L173" s="12">
        <f t="shared" si="1"/>
        <v>-21445.25384</v>
      </c>
    </row>
    <row r="174">
      <c r="G174" s="12">
        <v>5.97339144416666</v>
      </c>
      <c r="H174" s="12" t="s">
        <v>363</v>
      </c>
      <c r="I174" s="12">
        <v>21504.209199</v>
      </c>
      <c r="K174" s="12">
        <f t="shared" si="3"/>
        <v>166</v>
      </c>
      <c r="L174" s="12">
        <f t="shared" si="1"/>
        <v>-21504.2092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>
      <c r="A7" s="12" t="s">
        <v>182</v>
      </c>
      <c r="G7" s="12" t="s">
        <v>183</v>
      </c>
      <c r="L7" s="12" t="s">
        <v>364</v>
      </c>
      <c r="M7" s="12" t="s">
        <v>365</v>
      </c>
      <c r="N7" s="12" t="s">
        <v>186</v>
      </c>
      <c r="O7" s="9" t="s">
        <v>187</v>
      </c>
      <c r="P7" s="9"/>
    </row>
    <row r="8">
      <c r="A8" s="12" t="s">
        <v>5</v>
      </c>
      <c r="B8" s="12" t="s">
        <v>6</v>
      </c>
      <c r="C8" s="12" t="s">
        <v>7</v>
      </c>
      <c r="D8" s="12" t="s">
        <v>366</v>
      </c>
      <c r="G8" s="12" t="s">
        <v>5</v>
      </c>
      <c r="H8" s="12" t="s">
        <v>6</v>
      </c>
      <c r="I8" s="12" t="s">
        <v>7</v>
      </c>
      <c r="L8" s="12">
        <v>1.0</v>
      </c>
      <c r="M8" s="12">
        <f t="shared" ref="M8:M188" si="1">C9-D9-I9</f>
        <v>0</v>
      </c>
      <c r="N8" s="12">
        <f>sum(M8:M126)</f>
        <v>421260</v>
      </c>
      <c r="O8" s="9">
        <f>N8/119</f>
        <v>3540</v>
      </c>
      <c r="P8" s="9" t="s">
        <v>190</v>
      </c>
    </row>
    <row r="9">
      <c r="A9" s="12">
        <v>0.0583333333333333</v>
      </c>
      <c r="B9" s="12" t="s">
        <v>189</v>
      </c>
      <c r="C9" s="12">
        <v>210.0</v>
      </c>
      <c r="D9" s="12">
        <v>180.0</v>
      </c>
      <c r="G9" s="12">
        <v>0.00833333333333333</v>
      </c>
      <c r="H9" s="12" t="s">
        <v>189</v>
      </c>
      <c r="I9" s="12">
        <v>30.0</v>
      </c>
      <c r="L9" s="12">
        <f t="shared" ref="L9:L188" si="2">L8+1</f>
        <v>2</v>
      </c>
      <c r="M9" s="12">
        <f t="shared" si="1"/>
        <v>60</v>
      </c>
      <c r="O9" s="9">
        <f t="shared" ref="O9:O10" si="3">O8/60</f>
        <v>59</v>
      </c>
      <c r="P9" s="9" t="s">
        <v>367</v>
      </c>
    </row>
    <row r="10">
      <c r="A10" s="12">
        <v>0.108333333333333</v>
      </c>
      <c r="B10" s="12" t="s">
        <v>192</v>
      </c>
      <c r="C10" s="12">
        <v>390.0</v>
      </c>
      <c r="D10" s="12">
        <v>180.0</v>
      </c>
      <c r="G10" s="12">
        <v>0.0416666666666666</v>
      </c>
      <c r="H10" s="12" t="s">
        <v>192</v>
      </c>
      <c r="I10" s="12">
        <v>150.0</v>
      </c>
      <c r="L10" s="12">
        <f t="shared" si="2"/>
        <v>3</v>
      </c>
      <c r="M10" s="12">
        <f t="shared" si="1"/>
        <v>120</v>
      </c>
      <c r="O10" s="9">
        <f t="shared" si="3"/>
        <v>0.9833333333</v>
      </c>
      <c r="P10" s="9" t="s">
        <v>195</v>
      </c>
    </row>
    <row r="11">
      <c r="A11" s="12">
        <v>0.158333333333333</v>
      </c>
      <c r="B11" s="12" t="s">
        <v>194</v>
      </c>
      <c r="C11" s="12">
        <v>570.0</v>
      </c>
      <c r="D11" s="12">
        <v>180.0</v>
      </c>
      <c r="G11" s="12">
        <v>0.075</v>
      </c>
      <c r="H11" s="12" t="s">
        <v>194</v>
      </c>
      <c r="I11" s="12">
        <v>270.0</v>
      </c>
      <c r="L11" s="12">
        <f t="shared" si="2"/>
        <v>4</v>
      </c>
      <c r="M11" s="12">
        <f t="shared" si="1"/>
        <v>180</v>
      </c>
    </row>
    <row r="12">
      <c r="A12" s="12">
        <v>0.208333333333333</v>
      </c>
      <c r="B12" s="12" t="s">
        <v>199</v>
      </c>
      <c r="C12" s="12">
        <v>750.0</v>
      </c>
      <c r="D12" s="12">
        <v>180.0</v>
      </c>
      <c r="G12" s="12">
        <v>0.108333333333333</v>
      </c>
      <c r="H12" s="12" t="s">
        <v>199</v>
      </c>
      <c r="I12" s="12">
        <v>390.0</v>
      </c>
      <c r="L12" s="12">
        <f t="shared" si="2"/>
        <v>5</v>
      </c>
      <c r="M12" s="12">
        <f t="shared" si="1"/>
        <v>240</v>
      </c>
    </row>
    <row r="13">
      <c r="A13" s="12">
        <v>0.258333333333333</v>
      </c>
      <c r="B13" s="12" t="s">
        <v>201</v>
      </c>
      <c r="C13" s="12">
        <v>930.0</v>
      </c>
      <c r="D13" s="12">
        <v>180.0</v>
      </c>
      <c r="G13" s="12">
        <v>0.141666666666666</v>
      </c>
      <c r="H13" s="12" t="s">
        <v>201</v>
      </c>
      <c r="I13" s="12">
        <v>510.0</v>
      </c>
      <c r="L13" s="12">
        <f t="shared" si="2"/>
        <v>6</v>
      </c>
      <c r="M13" s="12">
        <f t="shared" si="1"/>
        <v>300</v>
      </c>
    </row>
    <row r="14">
      <c r="A14" s="12">
        <v>0.308333333333333</v>
      </c>
      <c r="B14" s="12" t="s">
        <v>203</v>
      </c>
      <c r="C14" s="12">
        <v>1110.0</v>
      </c>
      <c r="D14" s="12">
        <v>180.0</v>
      </c>
      <c r="G14" s="12">
        <v>0.175</v>
      </c>
      <c r="H14" s="12" t="s">
        <v>203</v>
      </c>
      <c r="I14" s="12">
        <v>630.0</v>
      </c>
      <c r="L14" s="12">
        <f t="shared" si="2"/>
        <v>7</v>
      </c>
      <c r="M14" s="12">
        <f t="shared" si="1"/>
        <v>360</v>
      </c>
    </row>
    <row r="15">
      <c r="A15" s="12">
        <v>0.358333333333333</v>
      </c>
      <c r="B15" s="12" t="s">
        <v>204</v>
      </c>
      <c r="C15" s="12">
        <v>1290.0</v>
      </c>
      <c r="D15" s="12">
        <v>180.0</v>
      </c>
      <c r="G15" s="12">
        <v>0.208333333333333</v>
      </c>
      <c r="H15" s="12" t="s">
        <v>204</v>
      </c>
      <c r="I15" s="12">
        <v>750.0</v>
      </c>
      <c r="L15" s="12">
        <f t="shared" si="2"/>
        <v>8</v>
      </c>
      <c r="M15" s="12">
        <f t="shared" si="1"/>
        <v>420</v>
      </c>
    </row>
    <row r="16">
      <c r="A16" s="12">
        <v>0.408333333333333</v>
      </c>
      <c r="B16" s="12" t="s">
        <v>205</v>
      </c>
      <c r="C16" s="12">
        <v>1470.0</v>
      </c>
      <c r="D16" s="12">
        <v>180.0</v>
      </c>
      <c r="G16" s="12">
        <v>0.241666666666666</v>
      </c>
      <c r="H16" s="12" t="s">
        <v>205</v>
      </c>
      <c r="I16" s="12">
        <v>870.0</v>
      </c>
      <c r="L16" s="12">
        <f t="shared" si="2"/>
        <v>9</v>
      </c>
      <c r="M16" s="12">
        <f t="shared" si="1"/>
        <v>480</v>
      </c>
    </row>
    <row r="17">
      <c r="A17" s="12">
        <v>0.458333333333333</v>
      </c>
      <c r="B17" s="12" t="s">
        <v>206</v>
      </c>
      <c r="C17" s="12">
        <v>1650.0</v>
      </c>
      <c r="D17" s="12">
        <v>180.0</v>
      </c>
      <c r="G17" s="12">
        <v>0.275</v>
      </c>
      <c r="H17" s="12" t="s">
        <v>206</v>
      </c>
      <c r="I17" s="12">
        <v>990.0</v>
      </c>
      <c r="L17" s="12">
        <f t="shared" si="2"/>
        <v>10</v>
      </c>
      <c r="M17" s="12">
        <f t="shared" si="1"/>
        <v>540</v>
      </c>
    </row>
    <row r="18">
      <c r="A18" s="12">
        <v>0.508333333333333</v>
      </c>
      <c r="B18" s="12" t="s">
        <v>207</v>
      </c>
      <c r="C18" s="12">
        <v>1830.0</v>
      </c>
      <c r="D18" s="12">
        <v>180.0</v>
      </c>
      <c r="G18" s="12">
        <v>0.308333333333333</v>
      </c>
      <c r="H18" s="12" t="s">
        <v>207</v>
      </c>
      <c r="I18" s="12">
        <v>1110.0</v>
      </c>
      <c r="L18" s="12">
        <f t="shared" si="2"/>
        <v>11</v>
      </c>
      <c r="M18" s="12">
        <f t="shared" si="1"/>
        <v>600</v>
      </c>
    </row>
    <row r="19">
      <c r="A19" s="12">
        <v>0.558333333333333</v>
      </c>
      <c r="B19" s="12" t="s">
        <v>208</v>
      </c>
      <c r="C19" s="12">
        <v>2010.0</v>
      </c>
      <c r="D19" s="12">
        <v>180.0</v>
      </c>
      <c r="G19" s="12">
        <v>0.341666666666666</v>
      </c>
      <c r="H19" s="12" t="s">
        <v>208</v>
      </c>
      <c r="I19" s="12">
        <v>1230.0</v>
      </c>
      <c r="L19" s="12">
        <f t="shared" si="2"/>
        <v>12</v>
      </c>
      <c r="M19" s="12">
        <f t="shared" si="1"/>
        <v>660</v>
      </c>
    </row>
    <row r="20">
      <c r="A20" s="12">
        <v>0.608333333333333</v>
      </c>
      <c r="B20" s="12" t="s">
        <v>209</v>
      </c>
      <c r="C20" s="12">
        <v>2190.0</v>
      </c>
      <c r="D20" s="12">
        <v>180.0</v>
      </c>
      <c r="G20" s="12">
        <v>0.375</v>
      </c>
      <c r="H20" s="12" t="s">
        <v>209</v>
      </c>
      <c r="I20" s="12">
        <v>1350.0</v>
      </c>
      <c r="L20" s="12">
        <f t="shared" si="2"/>
        <v>13</v>
      </c>
      <c r="M20" s="12">
        <f t="shared" si="1"/>
        <v>720</v>
      </c>
    </row>
    <row r="21">
      <c r="A21" s="12">
        <v>0.658333333333333</v>
      </c>
      <c r="B21" s="12" t="s">
        <v>210</v>
      </c>
      <c r="C21" s="12">
        <v>2370.0</v>
      </c>
      <c r="D21" s="12">
        <v>180.0</v>
      </c>
      <c r="G21" s="12">
        <v>0.408333333333333</v>
      </c>
      <c r="H21" s="12" t="s">
        <v>210</v>
      </c>
      <c r="I21" s="12">
        <v>1470.0</v>
      </c>
      <c r="L21" s="12">
        <f t="shared" si="2"/>
        <v>14</v>
      </c>
      <c r="M21" s="12">
        <f t="shared" si="1"/>
        <v>780</v>
      </c>
    </row>
    <row r="22">
      <c r="A22" s="12">
        <v>0.708333333333333</v>
      </c>
      <c r="B22" s="12" t="s">
        <v>211</v>
      </c>
      <c r="C22" s="12">
        <v>2550.0</v>
      </c>
      <c r="D22" s="12">
        <v>180.0</v>
      </c>
      <c r="G22" s="12">
        <v>0.441666666666666</v>
      </c>
      <c r="H22" s="12" t="s">
        <v>211</v>
      </c>
      <c r="I22" s="12">
        <v>1590.0</v>
      </c>
      <c r="L22" s="12">
        <f t="shared" si="2"/>
        <v>15</v>
      </c>
      <c r="M22" s="12">
        <f t="shared" si="1"/>
        <v>840</v>
      </c>
    </row>
    <row r="23">
      <c r="A23" s="12">
        <v>0.758333333333333</v>
      </c>
      <c r="B23" s="12" t="s">
        <v>212</v>
      </c>
      <c r="C23" s="12">
        <v>2730.0</v>
      </c>
      <c r="D23" s="12">
        <v>180.0</v>
      </c>
      <c r="G23" s="12">
        <v>0.475</v>
      </c>
      <c r="H23" s="12" t="s">
        <v>212</v>
      </c>
      <c r="I23" s="12">
        <v>1710.0</v>
      </c>
      <c r="L23" s="12">
        <f t="shared" si="2"/>
        <v>16</v>
      </c>
      <c r="M23" s="12">
        <f t="shared" si="1"/>
        <v>900</v>
      </c>
    </row>
    <row r="24">
      <c r="A24" s="12">
        <v>0.808333333333333</v>
      </c>
      <c r="B24" s="12" t="s">
        <v>213</v>
      </c>
      <c r="C24" s="12">
        <v>2910.0</v>
      </c>
      <c r="D24" s="12">
        <v>180.0</v>
      </c>
      <c r="G24" s="12">
        <v>0.508333333333333</v>
      </c>
      <c r="H24" s="12" t="s">
        <v>213</v>
      </c>
      <c r="I24" s="12">
        <v>1830.0</v>
      </c>
      <c r="L24" s="12">
        <f t="shared" si="2"/>
        <v>17</v>
      </c>
      <c r="M24" s="12">
        <f t="shared" si="1"/>
        <v>960</v>
      </c>
    </row>
    <row r="25">
      <c r="A25" s="12">
        <v>0.858333333333333</v>
      </c>
      <c r="B25" s="12" t="s">
        <v>214</v>
      </c>
      <c r="C25" s="12">
        <v>3090.0</v>
      </c>
      <c r="D25" s="12">
        <v>180.0</v>
      </c>
      <c r="G25" s="12">
        <v>0.541666666666666</v>
      </c>
      <c r="H25" s="12" t="s">
        <v>214</v>
      </c>
      <c r="I25" s="12">
        <v>1949.99999999999</v>
      </c>
      <c r="L25" s="12">
        <f t="shared" si="2"/>
        <v>18</v>
      </c>
      <c r="M25" s="12">
        <f t="shared" si="1"/>
        <v>1020</v>
      </c>
    </row>
    <row r="26">
      <c r="A26" s="12">
        <v>0.908333333333333</v>
      </c>
      <c r="B26" s="12" t="s">
        <v>215</v>
      </c>
      <c r="C26" s="12">
        <v>3270.0</v>
      </c>
      <c r="D26" s="12">
        <v>180.0</v>
      </c>
      <c r="G26" s="12">
        <v>0.575</v>
      </c>
      <c r="H26" s="12" t="s">
        <v>215</v>
      </c>
      <c r="I26" s="12">
        <v>2070.0</v>
      </c>
      <c r="L26" s="12">
        <f t="shared" si="2"/>
        <v>19</v>
      </c>
      <c r="M26" s="12">
        <f t="shared" si="1"/>
        <v>1080</v>
      </c>
    </row>
    <row r="27">
      <c r="A27" s="12">
        <v>0.958333333333333</v>
      </c>
      <c r="B27" s="12" t="s">
        <v>216</v>
      </c>
      <c r="C27" s="12">
        <v>3450.0</v>
      </c>
      <c r="D27" s="12">
        <v>180.0</v>
      </c>
      <c r="G27" s="12">
        <v>0.608333333333333</v>
      </c>
      <c r="H27" s="12" t="s">
        <v>216</v>
      </c>
      <c r="I27" s="12">
        <v>2190.0</v>
      </c>
      <c r="L27" s="12">
        <f t="shared" si="2"/>
        <v>20</v>
      </c>
      <c r="M27" s="12">
        <f t="shared" si="1"/>
        <v>1140</v>
      </c>
    </row>
    <row r="28">
      <c r="A28" s="12">
        <v>1.00833333333333</v>
      </c>
      <c r="B28" s="12" t="s">
        <v>217</v>
      </c>
      <c r="C28" s="12">
        <v>3630.0</v>
      </c>
      <c r="D28" s="12">
        <v>180.0</v>
      </c>
      <c r="G28" s="12">
        <v>0.641666666666666</v>
      </c>
      <c r="H28" s="12" t="s">
        <v>217</v>
      </c>
      <c r="I28" s="12">
        <v>2310.0</v>
      </c>
      <c r="L28" s="12">
        <f t="shared" si="2"/>
        <v>21</v>
      </c>
      <c r="M28" s="12">
        <f t="shared" si="1"/>
        <v>1200</v>
      </c>
    </row>
    <row r="29">
      <c r="A29" s="12">
        <v>1.05833333333333</v>
      </c>
      <c r="B29" s="12" t="s">
        <v>218</v>
      </c>
      <c r="C29" s="12">
        <v>3810.0</v>
      </c>
      <c r="D29" s="12">
        <v>180.0</v>
      </c>
      <c r="G29" s="12">
        <v>0.675</v>
      </c>
      <c r="H29" s="12" t="s">
        <v>218</v>
      </c>
      <c r="I29" s="12">
        <v>2430.0</v>
      </c>
      <c r="L29" s="12">
        <f t="shared" si="2"/>
        <v>22</v>
      </c>
      <c r="M29" s="12">
        <f t="shared" si="1"/>
        <v>1260</v>
      </c>
    </row>
    <row r="30">
      <c r="A30" s="12">
        <v>1.10833333333333</v>
      </c>
      <c r="B30" s="12" t="s">
        <v>219</v>
      </c>
      <c r="C30" s="12">
        <v>3990.0</v>
      </c>
      <c r="D30" s="12">
        <v>180.0</v>
      </c>
      <c r="G30" s="12">
        <v>0.708333333333333</v>
      </c>
      <c r="H30" s="12" t="s">
        <v>219</v>
      </c>
      <c r="I30" s="12">
        <v>2550.0</v>
      </c>
      <c r="L30" s="12">
        <f t="shared" si="2"/>
        <v>23</v>
      </c>
      <c r="M30" s="12">
        <f t="shared" si="1"/>
        <v>1320</v>
      </c>
    </row>
    <row r="31">
      <c r="A31" s="12">
        <v>1.15833333333333</v>
      </c>
      <c r="B31" s="12" t="s">
        <v>220</v>
      </c>
      <c r="C31" s="12">
        <v>4170.0</v>
      </c>
      <c r="D31" s="12">
        <v>180.0</v>
      </c>
      <c r="G31" s="12">
        <v>0.741666666666666</v>
      </c>
      <c r="H31" s="12" t="s">
        <v>220</v>
      </c>
      <c r="I31" s="12">
        <v>2670.0</v>
      </c>
      <c r="L31" s="12">
        <f t="shared" si="2"/>
        <v>24</v>
      </c>
      <c r="M31" s="12">
        <f t="shared" si="1"/>
        <v>1380</v>
      </c>
    </row>
    <row r="32">
      <c r="A32" s="12">
        <v>1.20833333333333</v>
      </c>
      <c r="B32" s="12" t="s">
        <v>221</v>
      </c>
      <c r="C32" s="12">
        <v>4350.0</v>
      </c>
      <c r="D32" s="12">
        <v>180.0</v>
      </c>
      <c r="G32" s="12">
        <v>0.775</v>
      </c>
      <c r="H32" s="12" t="s">
        <v>221</v>
      </c>
      <c r="I32" s="12">
        <v>2790.0</v>
      </c>
      <c r="L32" s="12">
        <f t="shared" si="2"/>
        <v>25</v>
      </c>
      <c r="M32" s="12">
        <f t="shared" si="1"/>
        <v>1440</v>
      </c>
    </row>
    <row r="33">
      <c r="A33" s="12">
        <v>1.25833333333333</v>
      </c>
      <c r="B33" s="12" t="s">
        <v>222</v>
      </c>
      <c r="C33" s="12">
        <v>4530.0</v>
      </c>
      <c r="D33" s="12">
        <v>180.0</v>
      </c>
      <c r="G33" s="12">
        <v>0.808333333333333</v>
      </c>
      <c r="H33" s="12" t="s">
        <v>222</v>
      </c>
      <c r="I33" s="12">
        <v>2910.0</v>
      </c>
      <c r="L33" s="12">
        <f t="shared" si="2"/>
        <v>26</v>
      </c>
      <c r="M33" s="12">
        <f t="shared" si="1"/>
        <v>1500</v>
      </c>
    </row>
    <row r="34">
      <c r="A34" s="12">
        <v>1.30833333333333</v>
      </c>
      <c r="B34" s="12" t="s">
        <v>223</v>
      </c>
      <c r="C34" s="12">
        <v>4710.0</v>
      </c>
      <c r="D34" s="12">
        <v>180.0</v>
      </c>
      <c r="G34" s="12">
        <v>0.841666666666666</v>
      </c>
      <c r="H34" s="12" t="s">
        <v>223</v>
      </c>
      <c r="I34" s="12">
        <v>3030.0</v>
      </c>
      <c r="L34" s="12">
        <f t="shared" si="2"/>
        <v>27</v>
      </c>
      <c r="M34" s="12">
        <f t="shared" si="1"/>
        <v>1560</v>
      </c>
    </row>
    <row r="35">
      <c r="A35" s="12">
        <v>1.35833333333333</v>
      </c>
      <c r="B35" s="12" t="s">
        <v>224</v>
      </c>
      <c r="C35" s="12">
        <v>4890.0</v>
      </c>
      <c r="D35" s="12">
        <v>180.0</v>
      </c>
      <c r="G35" s="12">
        <v>0.875</v>
      </c>
      <c r="H35" s="12" t="s">
        <v>224</v>
      </c>
      <c r="I35" s="12">
        <v>3150.0</v>
      </c>
      <c r="L35" s="12">
        <f t="shared" si="2"/>
        <v>28</v>
      </c>
      <c r="M35" s="12">
        <f t="shared" si="1"/>
        <v>1620</v>
      </c>
    </row>
    <row r="36">
      <c r="A36" s="12">
        <v>1.40833333333333</v>
      </c>
      <c r="B36" s="12" t="s">
        <v>225</v>
      </c>
      <c r="C36" s="12">
        <v>5070.0</v>
      </c>
      <c r="D36" s="12">
        <v>180.0</v>
      </c>
      <c r="G36" s="12">
        <v>0.908333333333333</v>
      </c>
      <c r="H36" s="12" t="s">
        <v>225</v>
      </c>
      <c r="I36" s="12">
        <v>3270.0</v>
      </c>
      <c r="L36" s="12">
        <f t="shared" si="2"/>
        <v>29</v>
      </c>
      <c r="M36" s="12">
        <f t="shared" si="1"/>
        <v>1680</v>
      </c>
    </row>
    <row r="37">
      <c r="A37" s="12">
        <v>1.45833333333333</v>
      </c>
      <c r="B37" s="12" t="s">
        <v>226</v>
      </c>
      <c r="C37" s="12">
        <v>5250.0</v>
      </c>
      <c r="D37" s="12">
        <v>180.0</v>
      </c>
      <c r="G37" s="12">
        <v>0.941666666666666</v>
      </c>
      <c r="H37" s="12" t="s">
        <v>226</v>
      </c>
      <c r="I37" s="12">
        <v>3390.0</v>
      </c>
      <c r="L37" s="12">
        <f t="shared" si="2"/>
        <v>30</v>
      </c>
      <c r="M37" s="12">
        <f t="shared" si="1"/>
        <v>1740</v>
      </c>
    </row>
    <row r="38">
      <c r="A38" s="12">
        <v>1.50833333333333</v>
      </c>
      <c r="B38" s="12" t="s">
        <v>227</v>
      </c>
      <c r="C38" s="12">
        <v>5430.0</v>
      </c>
      <c r="D38" s="12">
        <v>180.0</v>
      </c>
      <c r="G38" s="12">
        <v>0.975</v>
      </c>
      <c r="H38" s="12" t="s">
        <v>227</v>
      </c>
      <c r="I38" s="12">
        <v>3510.0</v>
      </c>
      <c r="L38" s="12">
        <f t="shared" si="2"/>
        <v>31</v>
      </c>
      <c r="M38" s="12">
        <f t="shared" si="1"/>
        <v>1800</v>
      </c>
    </row>
    <row r="39">
      <c r="A39" s="12">
        <v>1.55833333333333</v>
      </c>
      <c r="B39" s="12" t="s">
        <v>228</v>
      </c>
      <c r="C39" s="12">
        <v>5610.0</v>
      </c>
      <c r="D39" s="12">
        <v>180.0</v>
      </c>
      <c r="G39" s="12">
        <v>1.00833333333333</v>
      </c>
      <c r="H39" s="12" t="s">
        <v>228</v>
      </c>
      <c r="I39" s="12">
        <v>3630.0</v>
      </c>
      <c r="L39" s="12">
        <f t="shared" si="2"/>
        <v>32</v>
      </c>
      <c r="M39" s="12">
        <f t="shared" si="1"/>
        <v>1860</v>
      </c>
    </row>
    <row r="40">
      <c r="A40" s="12">
        <v>1.60833333333333</v>
      </c>
      <c r="B40" s="12" t="s">
        <v>229</v>
      </c>
      <c r="C40" s="12">
        <v>5790.0</v>
      </c>
      <c r="D40" s="12">
        <v>180.0</v>
      </c>
      <c r="G40" s="12">
        <v>1.04166666666666</v>
      </c>
      <c r="H40" s="12" t="s">
        <v>229</v>
      </c>
      <c r="I40" s="12">
        <v>3750.0</v>
      </c>
      <c r="L40" s="12">
        <f t="shared" si="2"/>
        <v>33</v>
      </c>
      <c r="M40" s="12">
        <f t="shared" si="1"/>
        <v>1920</v>
      </c>
    </row>
    <row r="41">
      <c r="A41" s="12">
        <v>1.65833333333333</v>
      </c>
      <c r="B41" s="12" t="s">
        <v>230</v>
      </c>
      <c r="C41" s="12">
        <v>5970.0</v>
      </c>
      <c r="D41" s="12">
        <v>180.0</v>
      </c>
      <c r="G41" s="12">
        <v>1.075</v>
      </c>
      <c r="H41" s="12" t="s">
        <v>230</v>
      </c>
      <c r="I41" s="12">
        <v>3870.0</v>
      </c>
      <c r="L41" s="12">
        <f t="shared" si="2"/>
        <v>34</v>
      </c>
      <c r="M41" s="12">
        <f t="shared" si="1"/>
        <v>1980</v>
      </c>
    </row>
    <row r="42">
      <c r="A42" s="12">
        <v>1.70833333333333</v>
      </c>
      <c r="B42" s="12" t="s">
        <v>231</v>
      </c>
      <c r="C42" s="12">
        <v>6150.0</v>
      </c>
      <c r="D42" s="12">
        <v>180.0</v>
      </c>
      <c r="G42" s="12">
        <v>1.10833333333333</v>
      </c>
      <c r="H42" s="12" t="s">
        <v>231</v>
      </c>
      <c r="I42" s="12">
        <v>3990.0</v>
      </c>
      <c r="L42" s="12">
        <f t="shared" si="2"/>
        <v>35</v>
      </c>
      <c r="M42" s="12">
        <f t="shared" si="1"/>
        <v>2040</v>
      </c>
    </row>
    <row r="43">
      <c r="A43" s="12">
        <v>1.75833333333333</v>
      </c>
      <c r="B43" s="12" t="s">
        <v>232</v>
      </c>
      <c r="C43" s="12">
        <v>6330.0</v>
      </c>
      <c r="D43" s="12">
        <v>180.0</v>
      </c>
      <c r="G43" s="12">
        <v>1.14166666666666</v>
      </c>
      <c r="H43" s="12" t="s">
        <v>232</v>
      </c>
      <c r="I43" s="12">
        <v>4110.0</v>
      </c>
      <c r="L43" s="12">
        <f t="shared" si="2"/>
        <v>36</v>
      </c>
      <c r="M43" s="12">
        <f t="shared" si="1"/>
        <v>2100</v>
      </c>
    </row>
    <row r="44">
      <c r="A44" s="12">
        <v>1.80833333333333</v>
      </c>
      <c r="B44" s="12" t="s">
        <v>233</v>
      </c>
      <c r="C44" s="12">
        <v>6510.0</v>
      </c>
      <c r="D44" s="12">
        <v>180.0</v>
      </c>
      <c r="G44" s="12">
        <v>1.175</v>
      </c>
      <c r="H44" s="12" t="s">
        <v>233</v>
      </c>
      <c r="I44" s="12">
        <v>4230.0</v>
      </c>
      <c r="L44" s="12">
        <f t="shared" si="2"/>
        <v>37</v>
      </c>
      <c r="M44" s="12">
        <f t="shared" si="1"/>
        <v>2160</v>
      </c>
    </row>
    <row r="45">
      <c r="A45" s="12">
        <v>1.85833333333333</v>
      </c>
      <c r="B45" s="12" t="s">
        <v>234</v>
      </c>
      <c r="C45" s="12">
        <v>6690.0</v>
      </c>
      <c r="D45" s="12">
        <v>180.0</v>
      </c>
      <c r="G45" s="12">
        <v>1.20833333333333</v>
      </c>
      <c r="H45" s="12" t="s">
        <v>234</v>
      </c>
      <c r="I45" s="12">
        <v>4350.0</v>
      </c>
      <c r="L45" s="12">
        <f t="shared" si="2"/>
        <v>38</v>
      </c>
      <c r="M45" s="12">
        <f t="shared" si="1"/>
        <v>2220</v>
      </c>
    </row>
    <row r="46">
      <c r="A46" s="12">
        <v>1.90833333333333</v>
      </c>
      <c r="B46" s="12" t="s">
        <v>235</v>
      </c>
      <c r="C46" s="12">
        <v>6870.0</v>
      </c>
      <c r="D46" s="12">
        <v>180.0</v>
      </c>
      <c r="G46" s="12">
        <v>1.24166666666666</v>
      </c>
      <c r="H46" s="12" t="s">
        <v>235</v>
      </c>
      <c r="I46" s="12">
        <v>4470.0</v>
      </c>
      <c r="L46" s="12">
        <f t="shared" si="2"/>
        <v>39</v>
      </c>
      <c r="M46" s="12">
        <f t="shared" si="1"/>
        <v>2280</v>
      </c>
    </row>
    <row r="47">
      <c r="A47" s="12">
        <v>1.95833333333333</v>
      </c>
      <c r="B47" s="12" t="s">
        <v>236</v>
      </c>
      <c r="C47" s="12">
        <v>7050.0</v>
      </c>
      <c r="D47" s="12">
        <v>180.0</v>
      </c>
      <c r="G47" s="12">
        <v>1.275</v>
      </c>
      <c r="H47" s="12" t="s">
        <v>236</v>
      </c>
      <c r="I47" s="12">
        <v>4590.0</v>
      </c>
      <c r="L47" s="12">
        <f t="shared" si="2"/>
        <v>40</v>
      </c>
      <c r="M47" s="12">
        <f t="shared" si="1"/>
        <v>2340</v>
      </c>
    </row>
    <row r="48">
      <c r="A48" s="12">
        <v>2.00833333333333</v>
      </c>
      <c r="B48" s="12" t="s">
        <v>237</v>
      </c>
      <c r="C48" s="12">
        <v>7230.0</v>
      </c>
      <c r="D48" s="12">
        <v>180.0</v>
      </c>
      <c r="G48" s="12">
        <v>1.30833333333333</v>
      </c>
      <c r="H48" s="12" t="s">
        <v>237</v>
      </c>
      <c r="I48" s="12">
        <v>4710.0</v>
      </c>
      <c r="L48" s="12">
        <f t="shared" si="2"/>
        <v>41</v>
      </c>
      <c r="M48" s="12">
        <f t="shared" si="1"/>
        <v>2400</v>
      </c>
    </row>
    <row r="49">
      <c r="A49" s="12">
        <v>2.05833333333333</v>
      </c>
      <c r="B49" s="12" t="s">
        <v>238</v>
      </c>
      <c r="C49" s="12">
        <v>7409.99999999999</v>
      </c>
      <c r="D49" s="12">
        <v>180.0</v>
      </c>
      <c r="G49" s="12">
        <v>1.34166666666666</v>
      </c>
      <c r="H49" s="12" t="s">
        <v>238</v>
      </c>
      <c r="I49" s="12">
        <v>4830.0</v>
      </c>
      <c r="L49" s="12">
        <f t="shared" si="2"/>
        <v>42</v>
      </c>
      <c r="M49" s="12">
        <f t="shared" si="1"/>
        <v>2460</v>
      </c>
    </row>
    <row r="50">
      <c r="A50" s="12">
        <v>2.10833333333333</v>
      </c>
      <c r="B50" s="12" t="s">
        <v>239</v>
      </c>
      <c r="C50" s="12">
        <v>7590.0</v>
      </c>
      <c r="D50" s="12">
        <v>180.0</v>
      </c>
      <c r="G50" s="12">
        <v>1.375</v>
      </c>
      <c r="H50" s="12" t="s">
        <v>239</v>
      </c>
      <c r="I50" s="12">
        <v>4950.0</v>
      </c>
      <c r="L50" s="12">
        <f t="shared" si="2"/>
        <v>43</v>
      </c>
      <c r="M50" s="12">
        <f t="shared" si="1"/>
        <v>2520</v>
      </c>
    </row>
    <row r="51">
      <c r="A51" s="12">
        <v>2.15833333333333</v>
      </c>
      <c r="B51" s="12" t="s">
        <v>240</v>
      </c>
      <c r="C51" s="12">
        <v>7770.0</v>
      </c>
      <c r="D51" s="12">
        <v>180.0</v>
      </c>
      <c r="G51" s="12">
        <v>1.40833333333333</v>
      </c>
      <c r="H51" s="12" t="s">
        <v>240</v>
      </c>
      <c r="I51" s="12">
        <v>5070.0</v>
      </c>
      <c r="L51" s="12">
        <f t="shared" si="2"/>
        <v>44</v>
      </c>
      <c r="M51" s="12">
        <f t="shared" si="1"/>
        <v>2580</v>
      </c>
    </row>
    <row r="52">
      <c r="A52" s="12">
        <v>2.20833333333333</v>
      </c>
      <c r="B52" s="12" t="s">
        <v>241</v>
      </c>
      <c r="C52" s="12">
        <v>7950.0</v>
      </c>
      <c r="D52" s="12">
        <v>180.0</v>
      </c>
      <c r="G52" s="12">
        <v>1.44166666666666</v>
      </c>
      <c r="H52" s="12" t="s">
        <v>241</v>
      </c>
      <c r="I52" s="12">
        <v>5190.0</v>
      </c>
      <c r="L52" s="12">
        <f t="shared" si="2"/>
        <v>45</v>
      </c>
      <c r="M52" s="12">
        <f t="shared" si="1"/>
        <v>2640</v>
      </c>
    </row>
    <row r="53">
      <c r="A53" s="12">
        <v>2.25833333333333</v>
      </c>
      <c r="B53" s="12" t="s">
        <v>242</v>
      </c>
      <c r="C53" s="12">
        <v>8130.0</v>
      </c>
      <c r="D53" s="12">
        <v>180.0</v>
      </c>
      <c r="G53" s="12">
        <v>1.475</v>
      </c>
      <c r="H53" s="12" t="s">
        <v>242</v>
      </c>
      <c r="I53" s="12">
        <v>5310.0</v>
      </c>
      <c r="L53" s="12">
        <f t="shared" si="2"/>
        <v>46</v>
      </c>
      <c r="M53" s="12">
        <f t="shared" si="1"/>
        <v>2700</v>
      </c>
    </row>
    <row r="54">
      <c r="A54" s="12">
        <v>2.30833333333333</v>
      </c>
      <c r="B54" s="12" t="s">
        <v>243</v>
      </c>
      <c r="C54" s="12">
        <v>8310.0</v>
      </c>
      <c r="D54" s="12">
        <v>180.0</v>
      </c>
      <c r="G54" s="12">
        <v>1.50833333333333</v>
      </c>
      <c r="H54" s="12" t="s">
        <v>243</v>
      </c>
      <c r="I54" s="12">
        <v>5430.0</v>
      </c>
      <c r="L54" s="12">
        <f t="shared" si="2"/>
        <v>47</v>
      </c>
      <c r="M54" s="12">
        <f t="shared" si="1"/>
        <v>2760</v>
      </c>
    </row>
    <row r="55">
      <c r="A55" s="12">
        <v>2.35833333333333</v>
      </c>
      <c r="B55" s="12" t="s">
        <v>244</v>
      </c>
      <c r="C55" s="12">
        <v>8490.0</v>
      </c>
      <c r="D55" s="12">
        <v>180.0</v>
      </c>
      <c r="G55" s="12">
        <v>1.54166666666666</v>
      </c>
      <c r="H55" s="12" t="s">
        <v>244</v>
      </c>
      <c r="I55" s="12">
        <v>5550.0</v>
      </c>
      <c r="L55" s="12">
        <f t="shared" si="2"/>
        <v>48</v>
      </c>
      <c r="M55" s="12">
        <f t="shared" si="1"/>
        <v>2820</v>
      </c>
    </row>
    <row r="56">
      <c r="A56" s="12">
        <v>2.40833333333333</v>
      </c>
      <c r="B56" s="12" t="s">
        <v>245</v>
      </c>
      <c r="C56" s="12">
        <v>8670.0</v>
      </c>
      <c r="D56" s="12">
        <v>180.0</v>
      </c>
      <c r="G56" s="12">
        <v>1.575</v>
      </c>
      <c r="H56" s="12" t="s">
        <v>245</v>
      </c>
      <c r="I56" s="12">
        <v>5670.0</v>
      </c>
      <c r="L56" s="12">
        <f t="shared" si="2"/>
        <v>49</v>
      </c>
      <c r="M56" s="12">
        <f t="shared" si="1"/>
        <v>2880</v>
      </c>
    </row>
    <row r="57">
      <c r="A57" s="12">
        <v>2.45833333333333</v>
      </c>
      <c r="B57" s="12" t="s">
        <v>246</v>
      </c>
      <c r="C57" s="12">
        <v>8850.0</v>
      </c>
      <c r="D57" s="12">
        <v>180.0</v>
      </c>
      <c r="G57" s="12">
        <v>1.60833333333333</v>
      </c>
      <c r="H57" s="12" t="s">
        <v>246</v>
      </c>
      <c r="I57" s="12">
        <v>5790.0</v>
      </c>
      <c r="L57" s="12">
        <f t="shared" si="2"/>
        <v>50</v>
      </c>
      <c r="M57" s="12">
        <f t="shared" si="1"/>
        <v>2940</v>
      </c>
    </row>
    <row r="58">
      <c r="A58" s="12">
        <v>2.50833333333333</v>
      </c>
      <c r="B58" s="12" t="s">
        <v>247</v>
      </c>
      <c r="C58" s="12">
        <v>9030.0</v>
      </c>
      <c r="D58" s="12">
        <v>180.0</v>
      </c>
      <c r="G58" s="12">
        <v>1.64166666666666</v>
      </c>
      <c r="H58" s="12" t="s">
        <v>247</v>
      </c>
      <c r="I58" s="12">
        <v>5910.0</v>
      </c>
      <c r="L58" s="12">
        <f t="shared" si="2"/>
        <v>51</v>
      </c>
      <c r="M58" s="12">
        <f t="shared" si="1"/>
        <v>3000</v>
      </c>
    </row>
    <row r="59">
      <c r="A59" s="12">
        <v>2.55833333333333</v>
      </c>
      <c r="B59" s="12" t="s">
        <v>248</v>
      </c>
      <c r="C59" s="12">
        <v>9210.0</v>
      </c>
      <c r="D59" s="12">
        <v>180.0</v>
      </c>
      <c r="G59" s="12">
        <v>1.675</v>
      </c>
      <c r="H59" s="12" t="s">
        <v>248</v>
      </c>
      <c r="I59" s="12">
        <v>6030.0</v>
      </c>
      <c r="L59" s="12">
        <f t="shared" si="2"/>
        <v>52</v>
      </c>
      <c r="M59" s="12">
        <f t="shared" si="1"/>
        <v>3060</v>
      </c>
    </row>
    <row r="60">
      <c r="A60" s="12">
        <v>2.60833333333333</v>
      </c>
      <c r="B60" s="12" t="s">
        <v>249</v>
      </c>
      <c r="C60" s="12">
        <v>9390.0</v>
      </c>
      <c r="D60" s="12">
        <v>180.0</v>
      </c>
      <c r="G60" s="12">
        <v>1.70833333333333</v>
      </c>
      <c r="H60" s="12" t="s">
        <v>249</v>
      </c>
      <c r="I60" s="12">
        <v>6150.0</v>
      </c>
      <c r="L60" s="12">
        <f t="shared" si="2"/>
        <v>53</v>
      </c>
      <c r="M60" s="12">
        <f t="shared" si="1"/>
        <v>3120</v>
      </c>
    </row>
    <row r="61">
      <c r="A61" s="12">
        <v>2.65833333333333</v>
      </c>
      <c r="B61" s="12" t="s">
        <v>250</v>
      </c>
      <c r="C61" s="12">
        <v>9570.0</v>
      </c>
      <c r="D61" s="12">
        <v>180.0</v>
      </c>
      <c r="G61" s="12">
        <v>1.74166666666666</v>
      </c>
      <c r="H61" s="12" t="s">
        <v>250</v>
      </c>
      <c r="I61" s="12">
        <v>6270.0</v>
      </c>
      <c r="L61" s="12">
        <f t="shared" si="2"/>
        <v>54</v>
      </c>
      <c r="M61" s="12">
        <f t="shared" si="1"/>
        <v>3180</v>
      </c>
    </row>
    <row r="62">
      <c r="A62" s="12">
        <v>2.70833333333333</v>
      </c>
      <c r="B62" s="12" t="s">
        <v>251</v>
      </c>
      <c r="C62" s="12">
        <v>9750.0</v>
      </c>
      <c r="D62" s="12">
        <v>180.0</v>
      </c>
      <c r="G62" s="12">
        <v>1.775</v>
      </c>
      <c r="H62" s="12" t="s">
        <v>251</v>
      </c>
      <c r="I62" s="12">
        <v>6390.0</v>
      </c>
      <c r="L62" s="12">
        <f t="shared" si="2"/>
        <v>55</v>
      </c>
      <c r="M62" s="12">
        <f t="shared" si="1"/>
        <v>3240</v>
      </c>
    </row>
    <row r="63">
      <c r="A63" s="12">
        <v>2.75833333333333</v>
      </c>
      <c r="B63" s="12" t="s">
        <v>252</v>
      </c>
      <c r="C63" s="12">
        <v>9930.0</v>
      </c>
      <c r="D63" s="12">
        <v>180.0</v>
      </c>
      <c r="G63" s="12">
        <v>1.80833333333333</v>
      </c>
      <c r="H63" s="12" t="s">
        <v>252</v>
      </c>
      <c r="I63" s="12">
        <v>6510.0</v>
      </c>
      <c r="L63" s="12">
        <f t="shared" si="2"/>
        <v>56</v>
      </c>
      <c r="M63" s="12">
        <f t="shared" si="1"/>
        <v>3300</v>
      </c>
    </row>
    <row r="64">
      <c r="A64" s="12">
        <v>2.80833333333333</v>
      </c>
      <c r="B64" s="12" t="s">
        <v>253</v>
      </c>
      <c r="C64" s="12">
        <v>10110.0</v>
      </c>
      <c r="D64" s="12">
        <v>180.0</v>
      </c>
      <c r="G64" s="12">
        <v>1.84166666666666</v>
      </c>
      <c r="H64" s="12" t="s">
        <v>253</v>
      </c>
      <c r="I64" s="12">
        <v>6630.0</v>
      </c>
      <c r="L64" s="12">
        <f t="shared" si="2"/>
        <v>57</v>
      </c>
      <c r="M64" s="12">
        <f t="shared" si="1"/>
        <v>3360</v>
      </c>
    </row>
    <row r="65">
      <c r="A65" s="12">
        <v>2.85833333333333</v>
      </c>
      <c r="B65" s="12" t="s">
        <v>254</v>
      </c>
      <c r="C65" s="12">
        <v>10290.0</v>
      </c>
      <c r="D65" s="12">
        <v>180.0</v>
      </c>
      <c r="G65" s="12">
        <v>1.875</v>
      </c>
      <c r="H65" s="12" t="s">
        <v>254</v>
      </c>
      <c r="I65" s="12">
        <v>6750.0</v>
      </c>
      <c r="L65" s="12">
        <f t="shared" si="2"/>
        <v>58</v>
      </c>
      <c r="M65" s="12">
        <f t="shared" si="1"/>
        <v>3420</v>
      </c>
    </row>
    <row r="66">
      <c r="A66" s="12">
        <v>2.90833333333333</v>
      </c>
      <c r="B66" s="12" t="s">
        <v>255</v>
      </c>
      <c r="C66" s="12">
        <v>10470.0</v>
      </c>
      <c r="D66" s="12">
        <v>180.0</v>
      </c>
      <c r="G66" s="12">
        <v>1.90833333333333</v>
      </c>
      <c r="H66" s="12" t="s">
        <v>255</v>
      </c>
      <c r="I66" s="12">
        <v>6870.0</v>
      </c>
      <c r="L66" s="12">
        <f t="shared" si="2"/>
        <v>59</v>
      </c>
      <c r="M66" s="12">
        <f t="shared" si="1"/>
        <v>3480</v>
      </c>
    </row>
    <row r="67">
      <c r="A67" s="12">
        <v>2.95833333333333</v>
      </c>
      <c r="B67" s="12" t="s">
        <v>256</v>
      </c>
      <c r="C67" s="12">
        <v>10650.0</v>
      </c>
      <c r="D67" s="12">
        <v>180.0</v>
      </c>
      <c r="G67" s="12">
        <v>1.94166666666666</v>
      </c>
      <c r="H67" s="12" t="s">
        <v>256</v>
      </c>
      <c r="I67" s="12">
        <v>6990.0</v>
      </c>
      <c r="L67" s="12">
        <f t="shared" si="2"/>
        <v>60</v>
      </c>
      <c r="M67" s="12">
        <f t="shared" si="1"/>
        <v>3540</v>
      </c>
    </row>
    <row r="68">
      <c r="A68" s="12">
        <v>3.00833333333333</v>
      </c>
      <c r="B68" s="12" t="s">
        <v>257</v>
      </c>
      <c r="C68" s="12">
        <v>10830.0</v>
      </c>
      <c r="D68" s="12">
        <v>180.0</v>
      </c>
      <c r="G68" s="12">
        <v>1.975</v>
      </c>
      <c r="H68" s="12" t="s">
        <v>257</v>
      </c>
      <c r="I68" s="12">
        <v>7110.0</v>
      </c>
      <c r="L68" s="12">
        <f t="shared" si="2"/>
        <v>61</v>
      </c>
      <c r="M68" s="12">
        <f t="shared" si="1"/>
        <v>3600</v>
      </c>
    </row>
    <row r="69">
      <c r="A69" s="12">
        <v>3.05833333333333</v>
      </c>
      <c r="B69" s="12" t="s">
        <v>258</v>
      </c>
      <c r="C69" s="12">
        <v>11010.0</v>
      </c>
      <c r="D69" s="12">
        <v>180.0</v>
      </c>
      <c r="G69" s="12">
        <v>2.00833333333333</v>
      </c>
      <c r="H69" s="12" t="s">
        <v>258</v>
      </c>
      <c r="I69" s="12">
        <v>7230.0</v>
      </c>
      <c r="L69" s="12">
        <f t="shared" si="2"/>
        <v>62</v>
      </c>
      <c r="M69" s="12">
        <f t="shared" si="1"/>
        <v>3660</v>
      </c>
    </row>
    <row r="70">
      <c r="A70" s="12">
        <v>3.10833333333333</v>
      </c>
      <c r="B70" s="12" t="s">
        <v>259</v>
      </c>
      <c r="C70" s="12">
        <v>11190.0</v>
      </c>
      <c r="D70" s="12">
        <v>180.0</v>
      </c>
      <c r="G70" s="12">
        <v>2.04166666666666</v>
      </c>
      <c r="H70" s="12" t="s">
        <v>259</v>
      </c>
      <c r="I70" s="12">
        <v>7349.99999999999</v>
      </c>
      <c r="L70" s="12">
        <f t="shared" si="2"/>
        <v>63</v>
      </c>
      <c r="M70" s="12">
        <f t="shared" si="1"/>
        <v>3720</v>
      </c>
    </row>
    <row r="71">
      <c r="A71" s="12">
        <v>3.15833333333333</v>
      </c>
      <c r="B71" s="12" t="s">
        <v>260</v>
      </c>
      <c r="C71" s="12">
        <v>11370.0</v>
      </c>
      <c r="D71" s="12">
        <v>180.0</v>
      </c>
      <c r="G71" s="12">
        <v>2.075</v>
      </c>
      <c r="H71" s="12" t="s">
        <v>260</v>
      </c>
      <c r="I71" s="12">
        <v>7470.0</v>
      </c>
      <c r="L71" s="12">
        <f t="shared" si="2"/>
        <v>64</v>
      </c>
      <c r="M71" s="12">
        <f t="shared" si="1"/>
        <v>3780</v>
      </c>
    </row>
    <row r="72">
      <c r="A72" s="12">
        <v>3.20833333333333</v>
      </c>
      <c r="B72" s="12" t="s">
        <v>261</v>
      </c>
      <c r="C72" s="12">
        <v>11550.0</v>
      </c>
      <c r="D72" s="12">
        <v>180.0</v>
      </c>
      <c r="G72" s="12">
        <v>2.10833333333333</v>
      </c>
      <c r="H72" s="12" t="s">
        <v>261</v>
      </c>
      <c r="I72" s="12">
        <v>7590.0</v>
      </c>
      <c r="L72" s="12">
        <f t="shared" si="2"/>
        <v>65</v>
      </c>
      <c r="M72" s="12">
        <f t="shared" si="1"/>
        <v>3840</v>
      </c>
    </row>
    <row r="73">
      <c r="A73" s="12">
        <v>3.25833333333333</v>
      </c>
      <c r="B73" s="12" t="s">
        <v>262</v>
      </c>
      <c r="C73" s="12">
        <v>11730.0</v>
      </c>
      <c r="D73" s="12">
        <v>180.0</v>
      </c>
      <c r="G73" s="12">
        <v>2.14166666666666</v>
      </c>
      <c r="H73" s="12" t="s">
        <v>262</v>
      </c>
      <c r="I73" s="12">
        <v>7710.0</v>
      </c>
      <c r="L73" s="12">
        <f t="shared" si="2"/>
        <v>66</v>
      </c>
      <c r="M73" s="12">
        <f t="shared" si="1"/>
        <v>3900</v>
      </c>
    </row>
    <row r="74">
      <c r="A74" s="12">
        <v>3.30833333333333</v>
      </c>
      <c r="B74" s="12" t="s">
        <v>263</v>
      </c>
      <c r="C74" s="12">
        <v>11910.0</v>
      </c>
      <c r="D74" s="12">
        <v>180.0</v>
      </c>
      <c r="G74" s="12">
        <v>2.175</v>
      </c>
      <c r="H74" s="12" t="s">
        <v>263</v>
      </c>
      <c r="I74" s="12">
        <v>7829.99999999999</v>
      </c>
      <c r="L74" s="12">
        <f t="shared" si="2"/>
        <v>67</v>
      </c>
      <c r="M74" s="12">
        <f t="shared" si="1"/>
        <v>3960</v>
      </c>
    </row>
    <row r="75">
      <c r="A75" s="12">
        <v>3.35833333333333</v>
      </c>
      <c r="B75" s="12" t="s">
        <v>264</v>
      </c>
      <c r="C75" s="12">
        <v>12090.0</v>
      </c>
      <c r="D75" s="12">
        <v>180.0</v>
      </c>
      <c r="G75" s="12">
        <v>2.20833333333333</v>
      </c>
      <c r="H75" s="12" t="s">
        <v>264</v>
      </c>
      <c r="I75" s="12">
        <v>7950.0</v>
      </c>
      <c r="L75" s="12">
        <f t="shared" si="2"/>
        <v>68</v>
      </c>
      <c r="M75" s="12">
        <f t="shared" si="1"/>
        <v>4020</v>
      </c>
    </row>
    <row r="76">
      <c r="A76" s="12">
        <v>3.40833333333333</v>
      </c>
      <c r="B76" s="12" t="s">
        <v>265</v>
      </c>
      <c r="C76" s="12">
        <v>12270.0</v>
      </c>
      <c r="D76" s="12">
        <v>180.0</v>
      </c>
      <c r="G76" s="12">
        <v>2.24166666666666</v>
      </c>
      <c r="H76" s="12" t="s">
        <v>265</v>
      </c>
      <c r="I76" s="12">
        <v>8070.0</v>
      </c>
      <c r="L76" s="12">
        <f t="shared" si="2"/>
        <v>69</v>
      </c>
      <c r="M76" s="12">
        <f t="shared" si="1"/>
        <v>4080</v>
      </c>
    </row>
    <row r="77">
      <c r="A77" s="12">
        <v>3.45833333333333</v>
      </c>
      <c r="B77" s="12" t="s">
        <v>266</v>
      </c>
      <c r="C77" s="12">
        <v>12450.0</v>
      </c>
      <c r="D77" s="12">
        <v>180.0</v>
      </c>
      <c r="G77" s="12">
        <v>2.275</v>
      </c>
      <c r="H77" s="12" t="s">
        <v>266</v>
      </c>
      <c r="I77" s="12">
        <v>8190.0</v>
      </c>
      <c r="L77" s="12">
        <f t="shared" si="2"/>
        <v>70</v>
      </c>
      <c r="M77" s="12">
        <f t="shared" si="1"/>
        <v>4140</v>
      </c>
    </row>
    <row r="78">
      <c r="A78" s="12">
        <v>3.50833333333333</v>
      </c>
      <c r="B78" s="12" t="s">
        <v>267</v>
      </c>
      <c r="C78" s="12">
        <v>12630.0</v>
      </c>
      <c r="D78" s="12">
        <v>180.0</v>
      </c>
      <c r="G78" s="12">
        <v>2.30833333333333</v>
      </c>
      <c r="H78" s="12" t="s">
        <v>267</v>
      </c>
      <c r="I78" s="12">
        <v>8310.0</v>
      </c>
      <c r="L78" s="12">
        <f t="shared" si="2"/>
        <v>71</v>
      </c>
      <c r="M78" s="12">
        <f t="shared" si="1"/>
        <v>4200</v>
      </c>
    </row>
    <row r="79">
      <c r="A79" s="12">
        <v>3.55833333333333</v>
      </c>
      <c r="B79" s="12" t="s">
        <v>268</v>
      </c>
      <c r="C79" s="12">
        <v>12810.0</v>
      </c>
      <c r="D79" s="12">
        <v>180.0</v>
      </c>
      <c r="G79" s="12">
        <v>2.34166666666666</v>
      </c>
      <c r="H79" s="12" t="s">
        <v>268</v>
      </c>
      <c r="I79" s="12">
        <v>8430.0</v>
      </c>
      <c r="L79" s="12">
        <f t="shared" si="2"/>
        <v>72</v>
      </c>
      <c r="M79" s="12">
        <f t="shared" si="1"/>
        <v>4260</v>
      </c>
    </row>
    <row r="80">
      <c r="A80" s="12">
        <v>3.60833333333333</v>
      </c>
      <c r="B80" s="12" t="s">
        <v>269</v>
      </c>
      <c r="C80" s="12">
        <v>12990.0</v>
      </c>
      <c r="D80" s="12">
        <v>180.0</v>
      </c>
      <c r="G80" s="12">
        <v>2.375</v>
      </c>
      <c r="H80" s="12" t="s">
        <v>269</v>
      </c>
      <c r="I80" s="12">
        <v>8550.0</v>
      </c>
      <c r="L80" s="12">
        <f t="shared" si="2"/>
        <v>73</v>
      </c>
      <c r="M80" s="12">
        <f t="shared" si="1"/>
        <v>4320</v>
      </c>
    </row>
    <row r="81">
      <c r="A81" s="12">
        <v>3.65833333333333</v>
      </c>
      <c r="B81" s="12" t="s">
        <v>270</v>
      </c>
      <c r="C81" s="12">
        <v>13170.0</v>
      </c>
      <c r="D81" s="12">
        <v>180.0</v>
      </c>
      <c r="G81" s="12">
        <v>2.40833333333333</v>
      </c>
      <c r="H81" s="12" t="s">
        <v>270</v>
      </c>
      <c r="I81" s="12">
        <v>8670.0</v>
      </c>
      <c r="L81" s="12">
        <f t="shared" si="2"/>
        <v>74</v>
      </c>
      <c r="M81" s="12">
        <f t="shared" si="1"/>
        <v>4380</v>
      </c>
    </row>
    <row r="82">
      <c r="A82" s="12">
        <v>3.70833333333333</v>
      </c>
      <c r="B82" s="12" t="s">
        <v>271</v>
      </c>
      <c r="C82" s="12">
        <v>13350.0</v>
      </c>
      <c r="D82" s="12">
        <v>180.0</v>
      </c>
      <c r="G82" s="12">
        <v>2.44166666666666</v>
      </c>
      <c r="H82" s="12" t="s">
        <v>271</v>
      </c>
      <c r="I82" s="12">
        <v>8790.0</v>
      </c>
      <c r="L82" s="12">
        <f t="shared" si="2"/>
        <v>75</v>
      </c>
      <c r="M82" s="12">
        <f t="shared" si="1"/>
        <v>4440</v>
      </c>
    </row>
    <row r="83">
      <c r="A83" s="12">
        <v>3.75833333333333</v>
      </c>
      <c r="B83" s="12" t="s">
        <v>272</v>
      </c>
      <c r="C83" s="12">
        <v>13530.0</v>
      </c>
      <c r="D83" s="12">
        <v>180.0</v>
      </c>
      <c r="G83" s="12">
        <v>2.475</v>
      </c>
      <c r="H83" s="12" t="s">
        <v>272</v>
      </c>
      <c r="I83" s="12">
        <v>8910.0</v>
      </c>
      <c r="L83" s="12">
        <f t="shared" si="2"/>
        <v>76</v>
      </c>
      <c r="M83" s="12">
        <f t="shared" si="1"/>
        <v>4500</v>
      </c>
    </row>
    <row r="84">
      <c r="A84" s="12">
        <v>3.80833333333333</v>
      </c>
      <c r="B84" s="12" t="s">
        <v>273</v>
      </c>
      <c r="C84" s="12">
        <v>13710.0</v>
      </c>
      <c r="D84" s="12">
        <v>180.0</v>
      </c>
      <c r="G84" s="12">
        <v>2.50833333333333</v>
      </c>
      <c r="H84" s="12" t="s">
        <v>273</v>
      </c>
      <c r="I84" s="12">
        <v>9030.0</v>
      </c>
      <c r="L84" s="12">
        <f t="shared" si="2"/>
        <v>77</v>
      </c>
      <c r="M84" s="12">
        <f t="shared" si="1"/>
        <v>4560</v>
      </c>
    </row>
    <row r="85">
      <c r="A85" s="12">
        <v>3.85833333333333</v>
      </c>
      <c r="B85" s="12" t="s">
        <v>274</v>
      </c>
      <c r="C85" s="12">
        <v>13890.0</v>
      </c>
      <c r="D85" s="12">
        <v>180.0</v>
      </c>
      <c r="G85" s="12">
        <v>2.54166666666666</v>
      </c>
      <c r="H85" s="12" t="s">
        <v>274</v>
      </c>
      <c r="I85" s="12">
        <v>9150.0</v>
      </c>
      <c r="L85" s="12">
        <f t="shared" si="2"/>
        <v>78</v>
      </c>
      <c r="M85" s="12">
        <f t="shared" si="1"/>
        <v>4620</v>
      </c>
    </row>
    <row r="86">
      <c r="A86" s="12">
        <v>3.90833333333333</v>
      </c>
      <c r="B86" s="12" t="s">
        <v>275</v>
      </c>
      <c r="C86" s="12">
        <v>14070.0</v>
      </c>
      <c r="D86" s="12">
        <v>180.0</v>
      </c>
      <c r="G86" s="12">
        <v>2.575</v>
      </c>
      <c r="H86" s="12" t="s">
        <v>275</v>
      </c>
      <c r="I86" s="12">
        <v>9270.0</v>
      </c>
      <c r="L86" s="12">
        <f t="shared" si="2"/>
        <v>79</v>
      </c>
      <c r="M86" s="12">
        <f t="shared" si="1"/>
        <v>4680</v>
      </c>
    </row>
    <row r="87">
      <c r="A87" s="12">
        <v>3.95833333333333</v>
      </c>
      <c r="B87" s="12" t="s">
        <v>276</v>
      </c>
      <c r="C87" s="12">
        <v>14250.0</v>
      </c>
      <c r="D87" s="12">
        <v>180.0</v>
      </c>
      <c r="G87" s="12">
        <v>2.60833333333333</v>
      </c>
      <c r="H87" s="12" t="s">
        <v>276</v>
      </c>
      <c r="I87" s="12">
        <v>9390.0</v>
      </c>
      <c r="L87" s="12">
        <f t="shared" si="2"/>
        <v>80</v>
      </c>
      <c r="M87" s="12">
        <f t="shared" si="1"/>
        <v>4740</v>
      </c>
    </row>
    <row r="88">
      <c r="A88" s="12">
        <v>4.00833333333333</v>
      </c>
      <c r="B88" s="12" t="s">
        <v>277</v>
      </c>
      <c r="C88" s="12">
        <v>14430.0</v>
      </c>
      <c r="D88" s="12">
        <v>180.0</v>
      </c>
      <c r="G88" s="12">
        <v>2.64166666666666</v>
      </c>
      <c r="H88" s="12" t="s">
        <v>277</v>
      </c>
      <c r="I88" s="12">
        <v>9510.0</v>
      </c>
      <c r="L88" s="12">
        <f t="shared" si="2"/>
        <v>81</v>
      </c>
      <c r="M88" s="12">
        <f t="shared" si="1"/>
        <v>4800</v>
      </c>
    </row>
    <row r="89">
      <c r="A89" s="12">
        <v>4.05833333333333</v>
      </c>
      <c r="B89" s="12" t="s">
        <v>278</v>
      </c>
      <c r="C89" s="12">
        <v>14610.0</v>
      </c>
      <c r="D89" s="12">
        <v>180.0</v>
      </c>
      <c r="G89" s="12">
        <v>2.675</v>
      </c>
      <c r="H89" s="12" t="s">
        <v>278</v>
      </c>
      <c r="I89" s="12">
        <v>9630.0</v>
      </c>
      <c r="L89" s="12">
        <f t="shared" si="2"/>
        <v>82</v>
      </c>
      <c r="M89" s="12">
        <f t="shared" si="1"/>
        <v>4860</v>
      </c>
    </row>
    <row r="90">
      <c r="A90" s="12">
        <v>4.10833333333333</v>
      </c>
      <c r="B90" s="12" t="s">
        <v>279</v>
      </c>
      <c r="C90" s="12">
        <v>14790.0</v>
      </c>
      <c r="D90" s="12">
        <v>180.0</v>
      </c>
      <c r="G90" s="12">
        <v>2.70833333333333</v>
      </c>
      <c r="H90" s="12" t="s">
        <v>279</v>
      </c>
      <c r="I90" s="12">
        <v>9750.0</v>
      </c>
      <c r="L90" s="12">
        <f t="shared" si="2"/>
        <v>83</v>
      </c>
      <c r="M90" s="12">
        <f t="shared" si="1"/>
        <v>4920</v>
      </c>
    </row>
    <row r="91">
      <c r="A91" s="12">
        <v>4.15833333333333</v>
      </c>
      <c r="B91" s="12" t="s">
        <v>280</v>
      </c>
      <c r="C91" s="12">
        <v>14970.0</v>
      </c>
      <c r="D91" s="12">
        <v>180.0</v>
      </c>
      <c r="G91" s="12">
        <v>2.74166666666666</v>
      </c>
      <c r="H91" s="12" t="s">
        <v>280</v>
      </c>
      <c r="I91" s="12">
        <v>9870.0</v>
      </c>
      <c r="L91" s="12">
        <f t="shared" si="2"/>
        <v>84</v>
      </c>
      <c r="M91" s="12">
        <f t="shared" si="1"/>
        <v>4980</v>
      </c>
    </row>
    <row r="92">
      <c r="A92" s="12">
        <v>4.20833333333333</v>
      </c>
      <c r="B92" s="12" t="s">
        <v>281</v>
      </c>
      <c r="C92" s="12">
        <v>15149.9999999999</v>
      </c>
      <c r="D92" s="12">
        <v>180.0</v>
      </c>
      <c r="G92" s="12">
        <v>2.775</v>
      </c>
      <c r="H92" s="12" t="s">
        <v>281</v>
      </c>
      <c r="I92" s="12">
        <v>9990.0</v>
      </c>
      <c r="L92" s="12">
        <f t="shared" si="2"/>
        <v>85</v>
      </c>
      <c r="M92" s="12">
        <f t="shared" si="1"/>
        <v>5040</v>
      </c>
    </row>
    <row r="93">
      <c r="A93" s="12">
        <v>4.25833333333333</v>
      </c>
      <c r="B93" s="12" t="s">
        <v>282</v>
      </c>
      <c r="C93" s="12">
        <v>15330.0</v>
      </c>
      <c r="D93" s="12">
        <v>180.0</v>
      </c>
      <c r="G93" s="12">
        <v>2.80833333333333</v>
      </c>
      <c r="H93" s="12" t="s">
        <v>282</v>
      </c>
      <c r="I93" s="12">
        <v>10110.0</v>
      </c>
      <c r="L93" s="12">
        <f t="shared" si="2"/>
        <v>86</v>
      </c>
      <c r="M93" s="12">
        <f t="shared" si="1"/>
        <v>5100</v>
      </c>
    </row>
    <row r="94">
      <c r="A94" s="12">
        <v>4.30833333333333</v>
      </c>
      <c r="B94" s="12" t="s">
        <v>283</v>
      </c>
      <c r="C94" s="12">
        <v>15510.0</v>
      </c>
      <c r="D94" s="12">
        <v>180.0</v>
      </c>
      <c r="G94" s="12">
        <v>2.84166666666666</v>
      </c>
      <c r="H94" s="12" t="s">
        <v>283</v>
      </c>
      <c r="I94" s="12">
        <v>10230.0</v>
      </c>
      <c r="L94" s="12">
        <f t="shared" si="2"/>
        <v>87</v>
      </c>
      <c r="M94" s="12">
        <f t="shared" si="1"/>
        <v>5160</v>
      </c>
    </row>
    <row r="95">
      <c r="A95" s="12">
        <v>4.35833333333333</v>
      </c>
      <c r="B95" s="12" t="s">
        <v>284</v>
      </c>
      <c r="C95" s="12">
        <v>15690.0</v>
      </c>
      <c r="D95" s="12">
        <v>180.0</v>
      </c>
      <c r="G95" s="12">
        <v>2.875</v>
      </c>
      <c r="H95" s="12" t="s">
        <v>284</v>
      </c>
      <c r="I95" s="12">
        <v>10350.0</v>
      </c>
      <c r="L95" s="12">
        <f t="shared" si="2"/>
        <v>88</v>
      </c>
      <c r="M95" s="12">
        <f t="shared" si="1"/>
        <v>5220</v>
      </c>
    </row>
    <row r="96">
      <c r="A96" s="12">
        <v>4.40833333333333</v>
      </c>
      <c r="B96" s="12" t="s">
        <v>285</v>
      </c>
      <c r="C96" s="12">
        <v>15870.0</v>
      </c>
      <c r="D96" s="12">
        <v>180.0</v>
      </c>
      <c r="G96" s="12">
        <v>2.90833333333333</v>
      </c>
      <c r="H96" s="12" t="s">
        <v>285</v>
      </c>
      <c r="I96" s="12">
        <v>10470.0</v>
      </c>
      <c r="L96" s="12">
        <f t="shared" si="2"/>
        <v>89</v>
      </c>
      <c r="M96" s="12">
        <f t="shared" si="1"/>
        <v>5280</v>
      </c>
    </row>
    <row r="97">
      <c r="A97" s="12">
        <v>4.45833333333333</v>
      </c>
      <c r="B97" s="12" t="s">
        <v>286</v>
      </c>
      <c r="C97" s="12">
        <v>16049.9999999999</v>
      </c>
      <c r="D97" s="12">
        <v>180.0</v>
      </c>
      <c r="G97" s="12">
        <v>2.94166666666666</v>
      </c>
      <c r="H97" s="12" t="s">
        <v>286</v>
      </c>
      <c r="I97" s="12">
        <v>10590.0</v>
      </c>
      <c r="L97" s="12">
        <f t="shared" si="2"/>
        <v>90</v>
      </c>
      <c r="M97" s="12">
        <f t="shared" si="1"/>
        <v>5340</v>
      </c>
    </row>
    <row r="98">
      <c r="A98" s="12">
        <v>4.50833333333333</v>
      </c>
      <c r="B98" s="12" t="s">
        <v>287</v>
      </c>
      <c r="C98" s="12">
        <v>16230.0</v>
      </c>
      <c r="D98" s="12">
        <v>180.0</v>
      </c>
      <c r="G98" s="12">
        <v>2.975</v>
      </c>
      <c r="H98" s="12" t="s">
        <v>287</v>
      </c>
      <c r="I98" s="12">
        <v>10710.0</v>
      </c>
      <c r="L98" s="12">
        <f t="shared" si="2"/>
        <v>91</v>
      </c>
      <c r="M98" s="12">
        <f t="shared" si="1"/>
        <v>5400</v>
      </c>
    </row>
    <row r="99">
      <c r="A99" s="12">
        <v>4.55833333333333</v>
      </c>
      <c r="B99" s="12" t="s">
        <v>288</v>
      </c>
      <c r="C99" s="12">
        <v>16410.0</v>
      </c>
      <c r="D99" s="12">
        <v>180.0</v>
      </c>
      <c r="G99" s="12">
        <v>3.00833333333333</v>
      </c>
      <c r="H99" s="12" t="s">
        <v>288</v>
      </c>
      <c r="I99" s="12">
        <v>10830.0</v>
      </c>
      <c r="L99" s="12">
        <f t="shared" si="2"/>
        <v>92</v>
      </c>
      <c r="M99" s="12">
        <f t="shared" si="1"/>
        <v>5460</v>
      </c>
    </row>
    <row r="100">
      <c r="A100" s="12">
        <v>4.60833333333333</v>
      </c>
      <c r="B100" s="12" t="s">
        <v>289</v>
      </c>
      <c r="C100" s="12">
        <v>16590.0</v>
      </c>
      <c r="D100" s="12">
        <v>180.0</v>
      </c>
      <c r="G100" s="12">
        <v>3.04166666666666</v>
      </c>
      <c r="H100" s="12" t="s">
        <v>289</v>
      </c>
      <c r="I100" s="12">
        <v>10950.0</v>
      </c>
      <c r="L100" s="12">
        <f t="shared" si="2"/>
        <v>93</v>
      </c>
      <c r="M100" s="12">
        <f t="shared" si="1"/>
        <v>5520</v>
      </c>
    </row>
    <row r="101">
      <c r="A101" s="12">
        <v>4.65833333333333</v>
      </c>
      <c r="B101" s="12" t="s">
        <v>290</v>
      </c>
      <c r="C101" s="12">
        <v>16770.0</v>
      </c>
      <c r="D101" s="12">
        <v>180.0</v>
      </c>
      <c r="G101" s="12">
        <v>3.075</v>
      </c>
      <c r="H101" s="12" t="s">
        <v>290</v>
      </c>
      <c r="I101" s="12">
        <v>11070.0</v>
      </c>
      <c r="L101" s="12">
        <f t="shared" si="2"/>
        <v>94</v>
      </c>
      <c r="M101" s="12">
        <f t="shared" si="1"/>
        <v>5580</v>
      </c>
    </row>
    <row r="102">
      <c r="A102" s="12">
        <v>4.70833333333333</v>
      </c>
      <c r="B102" s="12" t="s">
        <v>291</v>
      </c>
      <c r="C102" s="12">
        <v>16950.0</v>
      </c>
      <c r="D102" s="12">
        <v>180.0</v>
      </c>
      <c r="G102" s="12">
        <v>3.10833333333333</v>
      </c>
      <c r="H102" s="12" t="s">
        <v>291</v>
      </c>
      <c r="I102" s="12">
        <v>11190.0</v>
      </c>
      <c r="L102" s="12">
        <f t="shared" si="2"/>
        <v>95</v>
      </c>
      <c r="M102" s="12">
        <f t="shared" si="1"/>
        <v>5640</v>
      </c>
    </row>
    <row r="103">
      <c r="A103" s="12">
        <v>4.75833333333333</v>
      </c>
      <c r="B103" s="12" t="s">
        <v>292</v>
      </c>
      <c r="C103" s="12">
        <v>17130.0</v>
      </c>
      <c r="D103" s="12">
        <v>180.0</v>
      </c>
      <c r="G103" s="12">
        <v>3.14166666666666</v>
      </c>
      <c r="H103" s="12" t="s">
        <v>292</v>
      </c>
      <c r="I103" s="12">
        <v>11310.0</v>
      </c>
      <c r="L103" s="12">
        <f t="shared" si="2"/>
        <v>96</v>
      </c>
      <c r="M103" s="12">
        <f t="shared" si="1"/>
        <v>5700</v>
      </c>
    </row>
    <row r="104">
      <c r="A104" s="12">
        <v>4.80833333333333</v>
      </c>
      <c r="B104" s="12" t="s">
        <v>293</v>
      </c>
      <c r="C104" s="12">
        <v>17310.0</v>
      </c>
      <c r="D104" s="12">
        <v>180.0</v>
      </c>
      <c r="G104" s="12">
        <v>3.175</v>
      </c>
      <c r="H104" s="12" t="s">
        <v>293</v>
      </c>
      <c r="I104" s="12">
        <v>11430.0</v>
      </c>
      <c r="L104" s="12">
        <f t="shared" si="2"/>
        <v>97</v>
      </c>
      <c r="M104" s="12">
        <f t="shared" si="1"/>
        <v>5760</v>
      </c>
    </row>
    <row r="105">
      <c r="A105" s="12">
        <v>4.85833333333333</v>
      </c>
      <c r="B105" s="12" t="s">
        <v>294</v>
      </c>
      <c r="C105" s="12">
        <v>17490.0</v>
      </c>
      <c r="D105" s="12">
        <v>180.0</v>
      </c>
      <c r="G105" s="12">
        <v>3.20833333333333</v>
      </c>
      <c r="H105" s="12" t="s">
        <v>294</v>
      </c>
      <c r="I105" s="12">
        <v>11550.0</v>
      </c>
      <c r="L105" s="12">
        <f t="shared" si="2"/>
        <v>98</v>
      </c>
      <c r="M105" s="12">
        <f t="shared" si="1"/>
        <v>5820</v>
      </c>
    </row>
    <row r="106">
      <c r="A106" s="12">
        <v>4.90833333333333</v>
      </c>
      <c r="B106" s="12" t="s">
        <v>295</v>
      </c>
      <c r="C106" s="12">
        <v>17670.0</v>
      </c>
      <c r="D106" s="12">
        <v>180.0</v>
      </c>
      <c r="G106" s="12">
        <v>3.24166666666666</v>
      </c>
      <c r="H106" s="12" t="s">
        <v>295</v>
      </c>
      <c r="I106" s="12">
        <v>11670.0</v>
      </c>
      <c r="L106" s="12">
        <f t="shared" si="2"/>
        <v>99</v>
      </c>
      <c r="M106" s="12">
        <f t="shared" si="1"/>
        <v>5880</v>
      </c>
    </row>
    <row r="107">
      <c r="A107" s="12">
        <v>4.95833333333333</v>
      </c>
      <c r="B107" s="12" t="s">
        <v>296</v>
      </c>
      <c r="C107" s="12">
        <v>17850.0</v>
      </c>
      <c r="D107" s="12">
        <v>180.0</v>
      </c>
      <c r="G107" s="12">
        <v>3.275</v>
      </c>
      <c r="H107" s="12" t="s">
        <v>296</v>
      </c>
      <c r="I107" s="12">
        <v>11790.0</v>
      </c>
      <c r="L107" s="12">
        <f t="shared" si="2"/>
        <v>100</v>
      </c>
      <c r="M107" s="12">
        <f t="shared" si="1"/>
        <v>5940</v>
      </c>
    </row>
    <row r="108">
      <c r="A108" s="12">
        <v>5.00833333333333</v>
      </c>
      <c r="B108" s="12" t="s">
        <v>297</v>
      </c>
      <c r="C108" s="12">
        <v>18030.0</v>
      </c>
      <c r="D108" s="12">
        <v>180.0</v>
      </c>
      <c r="G108" s="12">
        <v>3.30833333333333</v>
      </c>
      <c r="H108" s="12" t="s">
        <v>297</v>
      </c>
      <c r="I108" s="12">
        <v>11910.0</v>
      </c>
      <c r="L108" s="12">
        <f t="shared" si="2"/>
        <v>101</v>
      </c>
      <c r="M108" s="12">
        <f t="shared" si="1"/>
        <v>6000</v>
      </c>
    </row>
    <row r="109">
      <c r="A109" s="12">
        <v>5.05833333333333</v>
      </c>
      <c r="B109" s="12" t="s">
        <v>298</v>
      </c>
      <c r="C109" s="12">
        <v>18210.0</v>
      </c>
      <c r="D109" s="12">
        <v>180.0</v>
      </c>
      <c r="G109" s="12">
        <v>3.34166666666666</v>
      </c>
      <c r="H109" s="12" t="s">
        <v>298</v>
      </c>
      <c r="I109" s="12">
        <v>12030.0</v>
      </c>
      <c r="L109" s="12">
        <f t="shared" si="2"/>
        <v>102</v>
      </c>
      <c r="M109" s="12">
        <f t="shared" si="1"/>
        <v>6060</v>
      </c>
    </row>
    <row r="110">
      <c r="A110" s="12">
        <v>5.10833333333333</v>
      </c>
      <c r="B110" s="12" t="s">
        <v>299</v>
      </c>
      <c r="C110" s="12">
        <v>18390.0</v>
      </c>
      <c r="D110" s="12">
        <v>180.0</v>
      </c>
      <c r="G110" s="12">
        <v>3.375</v>
      </c>
      <c r="H110" s="12" t="s">
        <v>299</v>
      </c>
      <c r="I110" s="12">
        <v>12150.0</v>
      </c>
      <c r="L110" s="12">
        <f t="shared" si="2"/>
        <v>103</v>
      </c>
      <c r="M110" s="12">
        <f t="shared" si="1"/>
        <v>6120</v>
      </c>
    </row>
    <row r="111">
      <c r="A111" s="12">
        <v>5.15833333333333</v>
      </c>
      <c r="B111" s="12" t="s">
        <v>300</v>
      </c>
      <c r="C111" s="12">
        <v>18570.0</v>
      </c>
      <c r="D111" s="12">
        <v>180.0</v>
      </c>
      <c r="G111" s="12">
        <v>3.40833333333333</v>
      </c>
      <c r="H111" s="12" t="s">
        <v>300</v>
      </c>
      <c r="I111" s="12">
        <v>12270.0</v>
      </c>
      <c r="L111" s="12">
        <f t="shared" si="2"/>
        <v>104</v>
      </c>
      <c r="M111" s="12">
        <f t="shared" si="1"/>
        <v>6180</v>
      </c>
    </row>
    <row r="112">
      <c r="A112" s="12">
        <v>5.20833333333333</v>
      </c>
      <c r="B112" s="12" t="s">
        <v>301</v>
      </c>
      <c r="C112" s="12">
        <v>18750.0</v>
      </c>
      <c r="D112" s="12">
        <v>180.0</v>
      </c>
      <c r="G112" s="12">
        <v>3.44166666666666</v>
      </c>
      <c r="H112" s="12" t="s">
        <v>301</v>
      </c>
      <c r="I112" s="12">
        <v>12390.0</v>
      </c>
      <c r="L112" s="12">
        <f t="shared" si="2"/>
        <v>105</v>
      </c>
      <c r="M112" s="12">
        <f t="shared" si="1"/>
        <v>6240</v>
      </c>
    </row>
    <row r="113">
      <c r="A113" s="12">
        <v>5.25833333333333</v>
      </c>
      <c r="B113" s="12" t="s">
        <v>302</v>
      </c>
      <c r="C113" s="12">
        <v>18930.0</v>
      </c>
      <c r="D113" s="12">
        <v>180.0</v>
      </c>
      <c r="G113" s="12">
        <v>3.475</v>
      </c>
      <c r="H113" s="12" t="s">
        <v>302</v>
      </c>
      <c r="I113" s="12">
        <v>12510.0</v>
      </c>
      <c r="L113" s="12">
        <f t="shared" si="2"/>
        <v>106</v>
      </c>
      <c r="M113" s="12">
        <f t="shared" si="1"/>
        <v>6300</v>
      </c>
    </row>
    <row r="114">
      <c r="A114" s="12">
        <v>5.30833333333333</v>
      </c>
      <c r="B114" s="12" t="s">
        <v>303</v>
      </c>
      <c r="C114" s="12">
        <v>19110.0</v>
      </c>
      <c r="D114" s="12">
        <v>180.0</v>
      </c>
      <c r="G114" s="12">
        <v>3.50833333333333</v>
      </c>
      <c r="H114" s="12" t="s">
        <v>303</v>
      </c>
      <c r="I114" s="12">
        <v>12630.0</v>
      </c>
      <c r="L114" s="12">
        <f t="shared" si="2"/>
        <v>107</v>
      </c>
      <c r="M114" s="12">
        <f t="shared" si="1"/>
        <v>6360</v>
      </c>
    </row>
    <row r="115">
      <c r="A115" s="12">
        <v>5.35833333333333</v>
      </c>
      <c r="B115" s="12" t="s">
        <v>304</v>
      </c>
      <c r="C115" s="12">
        <v>19290.0</v>
      </c>
      <c r="D115" s="12">
        <v>180.0</v>
      </c>
      <c r="G115" s="12">
        <v>3.54166666666666</v>
      </c>
      <c r="H115" s="12" t="s">
        <v>304</v>
      </c>
      <c r="I115" s="12">
        <v>12750.0</v>
      </c>
      <c r="L115" s="12">
        <f t="shared" si="2"/>
        <v>108</v>
      </c>
      <c r="M115" s="12">
        <f t="shared" si="1"/>
        <v>6420</v>
      </c>
    </row>
    <row r="116">
      <c r="A116" s="12">
        <v>5.40833333333333</v>
      </c>
      <c r="B116" s="12" t="s">
        <v>305</v>
      </c>
      <c r="C116" s="12">
        <v>19470.0</v>
      </c>
      <c r="D116" s="12">
        <v>180.0</v>
      </c>
      <c r="G116" s="12">
        <v>3.575</v>
      </c>
      <c r="H116" s="12" t="s">
        <v>305</v>
      </c>
      <c r="I116" s="12">
        <v>12870.0</v>
      </c>
      <c r="L116" s="12">
        <f t="shared" si="2"/>
        <v>109</v>
      </c>
      <c r="M116" s="12">
        <f t="shared" si="1"/>
        <v>6480</v>
      </c>
    </row>
    <row r="117">
      <c r="A117" s="12">
        <v>5.45833333333333</v>
      </c>
      <c r="B117" s="12" t="s">
        <v>306</v>
      </c>
      <c r="C117" s="12">
        <v>19650.0</v>
      </c>
      <c r="D117" s="12">
        <v>180.0</v>
      </c>
      <c r="G117" s="12">
        <v>3.60833333333333</v>
      </c>
      <c r="H117" s="12" t="s">
        <v>306</v>
      </c>
      <c r="I117" s="12">
        <v>12990.0</v>
      </c>
      <c r="L117" s="12">
        <f t="shared" si="2"/>
        <v>110</v>
      </c>
      <c r="M117" s="12">
        <f t="shared" si="1"/>
        <v>6540</v>
      </c>
    </row>
    <row r="118">
      <c r="A118" s="12">
        <v>5.50833333333333</v>
      </c>
      <c r="B118" s="12" t="s">
        <v>307</v>
      </c>
      <c r="C118" s="12">
        <v>19830.0</v>
      </c>
      <c r="D118" s="12">
        <v>180.0</v>
      </c>
      <c r="G118" s="12">
        <v>3.64166666666666</v>
      </c>
      <c r="H118" s="12" t="s">
        <v>307</v>
      </c>
      <c r="I118" s="12">
        <v>13110.0</v>
      </c>
      <c r="L118" s="12">
        <f t="shared" si="2"/>
        <v>111</v>
      </c>
      <c r="M118" s="12">
        <f t="shared" si="1"/>
        <v>6600</v>
      </c>
    </row>
    <row r="119">
      <c r="A119" s="12">
        <v>5.55833333333333</v>
      </c>
      <c r="B119" s="12" t="s">
        <v>308</v>
      </c>
      <c r="C119" s="12">
        <v>20010.0</v>
      </c>
      <c r="D119" s="12">
        <v>180.0</v>
      </c>
      <c r="G119" s="12">
        <v>3.675</v>
      </c>
      <c r="H119" s="12" t="s">
        <v>308</v>
      </c>
      <c r="I119" s="12">
        <v>13230.0</v>
      </c>
      <c r="L119" s="12">
        <f t="shared" si="2"/>
        <v>112</v>
      </c>
      <c r="M119" s="12">
        <f t="shared" si="1"/>
        <v>6660</v>
      </c>
    </row>
    <row r="120">
      <c r="A120" s="12">
        <v>5.60833333333333</v>
      </c>
      <c r="B120" s="12" t="s">
        <v>309</v>
      </c>
      <c r="C120" s="12">
        <v>20190.0</v>
      </c>
      <c r="D120" s="12">
        <v>180.0</v>
      </c>
      <c r="G120" s="12">
        <v>3.70833333333333</v>
      </c>
      <c r="H120" s="12" t="s">
        <v>309</v>
      </c>
      <c r="I120" s="12">
        <v>13350.0</v>
      </c>
      <c r="L120" s="12">
        <f t="shared" si="2"/>
        <v>113</v>
      </c>
      <c r="M120" s="12">
        <f t="shared" si="1"/>
        <v>6720</v>
      </c>
    </row>
    <row r="121">
      <c r="A121" s="12">
        <v>5.65833333333333</v>
      </c>
      <c r="B121" s="12" t="s">
        <v>310</v>
      </c>
      <c r="C121" s="12">
        <v>20370.0</v>
      </c>
      <c r="D121" s="12">
        <v>180.0</v>
      </c>
      <c r="G121" s="12">
        <v>3.74166666666666</v>
      </c>
      <c r="H121" s="12" t="s">
        <v>310</v>
      </c>
      <c r="I121" s="12">
        <v>13470.0</v>
      </c>
      <c r="L121" s="12">
        <f t="shared" si="2"/>
        <v>114</v>
      </c>
      <c r="M121" s="12">
        <f t="shared" si="1"/>
        <v>6780</v>
      </c>
    </row>
    <row r="122">
      <c r="A122" s="12">
        <v>5.70833333333333</v>
      </c>
      <c r="B122" s="12" t="s">
        <v>311</v>
      </c>
      <c r="C122" s="12">
        <v>20550.0</v>
      </c>
      <c r="D122" s="12">
        <v>180.0</v>
      </c>
      <c r="G122" s="12">
        <v>3.775</v>
      </c>
      <c r="H122" s="12" t="s">
        <v>311</v>
      </c>
      <c r="I122" s="12">
        <v>13590.0</v>
      </c>
      <c r="L122" s="12">
        <f t="shared" si="2"/>
        <v>115</v>
      </c>
      <c r="M122" s="12">
        <f t="shared" si="1"/>
        <v>6840</v>
      </c>
    </row>
    <row r="123">
      <c r="A123" s="12">
        <v>5.75833333333333</v>
      </c>
      <c r="B123" s="12" t="s">
        <v>312</v>
      </c>
      <c r="C123" s="12">
        <v>20730.0</v>
      </c>
      <c r="D123" s="12">
        <v>180.0</v>
      </c>
      <c r="G123" s="12">
        <v>3.80833333333333</v>
      </c>
      <c r="H123" s="12" t="s">
        <v>312</v>
      </c>
      <c r="I123" s="12">
        <v>13710.0</v>
      </c>
      <c r="L123" s="12">
        <f t="shared" si="2"/>
        <v>116</v>
      </c>
      <c r="M123" s="12">
        <f t="shared" si="1"/>
        <v>6900</v>
      </c>
    </row>
    <row r="124">
      <c r="A124" s="12">
        <v>5.80833333333333</v>
      </c>
      <c r="B124" s="12" t="s">
        <v>313</v>
      </c>
      <c r="C124" s="12">
        <v>20910.0</v>
      </c>
      <c r="D124" s="12">
        <v>180.0</v>
      </c>
      <c r="G124" s="12">
        <v>3.84166666666666</v>
      </c>
      <c r="H124" s="12" t="s">
        <v>313</v>
      </c>
      <c r="I124" s="12">
        <v>13830.0</v>
      </c>
      <c r="L124" s="12">
        <f t="shared" si="2"/>
        <v>117</v>
      </c>
      <c r="M124" s="12">
        <f t="shared" si="1"/>
        <v>6960</v>
      </c>
    </row>
    <row r="125">
      <c r="A125" s="12">
        <v>5.85833333333333</v>
      </c>
      <c r="B125" s="12" t="s">
        <v>314</v>
      </c>
      <c r="C125" s="12">
        <v>21090.0</v>
      </c>
      <c r="D125" s="12">
        <v>180.0</v>
      </c>
      <c r="G125" s="12">
        <v>3.875</v>
      </c>
      <c r="H125" s="12" t="s">
        <v>314</v>
      </c>
      <c r="I125" s="12">
        <v>13950.0</v>
      </c>
      <c r="L125" s="12">
        <f t="shared" si="2"/>
        <v>118</v>
      </c>
      <c r="M125" s="12">
        <f t="shared" si="1"/>
        <v>7020</v>
      </c>
    </row>
    <row r="126">
      <c r="A126" s="37">
        <v>5.90833333333333</v>
      </c>
      <c r="B126" s="37" t="s">
        <v>315</v>
      </c>
      <c r="C126" s="37">
        <v>21270.0</v>
      </c>
      <c r="D126" s="37">
        <v>180.0</v>
      </c>
      <c r="E126" s="37"/>
      <c r="F126" s="37"/>
      <c r="G126" s="37">
        <v>3.90833333333333</v>
      </c>
      <c r="H126" s="37" t="s">
        <v>315</v>
      </c>
      <c r="I126" s="37">
        <v>14070.0</v>
      </c>
      <c r="J126" s="37"/>
      <c r="K126" s="37"/>
      <c r="L126" s="37">
        <f t="shared" si="2"/>
        <v>119</v>
      </c>
      <c r="M126" s="37">
        <f t="shared" si="1"/>
        <v>7080</v>
      </c>
      <c r="N126" s="37"/>
      <c r="O126" s="37"/>
      <c r="P126" s="37"/>
    </row>
    <row r="127">
      <c r="A127" s="12">
        <v>5.95833333333333</v>
      </c>
      <c r="B127" s="12" t="s">
        <v>316</v>
      </c>
      <c r="C127" s="12">
        <v>21450.0</v>
      </c>
      <c r="D127" s="12">
        <v>180.0</v>
      </c>
      <c r="G127" s="12">
        <v>3.94166666666666</v>
      </c>
      <c r="H127" s="12" t="s">
        <v>316</v>
      </c>
      <c r="I127" s="12">
        <v>14190.0</v>
      </c>
      <c r="L127" s="12">
        <f t="shared" si="2"/>
        <v>120</v>
      </c>
      <c r="M127" s="12">
        <f t="shared" si="1"/>
        <v>-14310</v>
      </c>
    </row>
    <row r="128">
      <c r="G128" s="12">
        <v>3.975</v>
      </c>
      <c r="H128" s="12" t="s">
        <v>317</v>
      </c>
      <c r="I128" s="12">
        <v>14310.0</v>
      </c>
      <c r="L128" s="12">
        <f t="shared" si="2"/>
        <v>121</v>
      </c>
      <c r="M128" s="12">
        <f t="shared" si="1"/>
        <v>-14430</v>
      </c>
    </row>
    <row r="129">
      <c r="G129" s="12">
        <v>4.00833333333333</v>
      </c>
      <c r="H129" s="12" t="s">
        <v>318</v>
      </c>
      <c r="I129" s="12">
        <v>14430.0</v>
      </c>
      <c r="L129" s="12">
        <f t="shared" si="2"/>
        <v>122</v>
      </c>
      <c r="M129" s="12">
        <f t="shared" si="1"/>
        <v>-14550</v>
      </c>
    </row>
    <row r="130">
      <c r="G130" s="12">
        <v>4.04166666666666</v>
      </c>
      <c r="H130" s="12" t="s">
        <v>319</v>
      </c>
      <c r="I130" s="12">
        <v>14550.0</v>
      </c>
      <c r="L130" s="12">
        <f t="shared" si="2"/>
        <v>123</v>
      </c>
      <c r="M130" s="12">
        <f t="shared" si="1"/>
        <v>-14670</v>
      </c>
    </row>
    <row r="131">
      <c r="G131" s="12">
        <v>4.075</v>
      </c>
      <c r="H131" s="12" t="s">
        <v>320</v>
      </c>
      <c r="I131" s="12">
        <v>14670.0</v>
      </c>
      <c r="L131" s="12">
        <f t="shared" si="2"/>
        <v>124</v>
      </c>
      <c r="M131" s="12">
        <f t="shared" si="1"/>
        <v>-14790</v>
      </c>
    </row>
    <row r="132">
      <c r="G132" s="12">
        <v>4.10833333333333</v>
      </c>
      <c r="H132" s="12" t="s">
        <v>321</v>
      </c>
      <c r="I132" s="12">
        <v>14790.0</v>
      </c>
      <c r="L132" s="12">
        <f t="shared" si="2"/>
        <v>125</v>
      </c>
      <c r="M132" s="12">
        <f t="shared" si="1"/>
        <v>-14910</v>
      </c>
    </row>
    <row r="133">
      <c r="G133" s="12">
        <v>4.14166666666666</v>
      </c>
      <c r="H133" s="12" t="s">
        <v>322</v>
      </c>
      <c r="I133" s="12">
        <v>14910.0</v>
      </c>
      <c r="L133" s="12">
        <f t="shared" si="2"/>
        <v>126</v>
      </c>
      <c r="M133" s="12">
        <f t="shared" si="1"/>
        <v>-15030</v>
      </c>
    </row>
    <row r="134">
      <c r="G134" s="12">
        <v>4.175</v>
      </c>
      <c r="H134" s="12" t="s">
        <v>323</v>
      </c>
      <c r="I134" s="12">
        <v>15030.0</v>
      </c>
      <c r="L134" s="12">
        <f t="shared" si="2"/>
        <v>127</v>
      </c>
      <c r="M134" s="12">
        <f t="shared" si="1"/>
        <v>-15150</v>
      </c>
    </row>
    <row r="135">
      <c r="G135" s="12">
        <v>4.20833333333333</v>
      </c>
      <c r="H135" s="12" t="s">
        <v>324</v>
      </c>
      <c r="I135" s="12">
        <v>15149.9999999999</v>
      </c>
      <c r="L135" s="12">
        <f t="shared" si="2"/>
        <v>128</v>
      </c>
      <c r="M135" s="12">
        <f t="shared" si="1"/>
        <v>-15270</v>
      </c>
    </row>
    <row r="136">
      <c r="G136" s="12">
        <v>4.24166666666666</v>
      </c>
      <c r="H136" s="12" t="s">
        <v>325</v>
      </c>
      <c r="I136" s="12">
        <v>15269.9999999999</v>
      </c>
      <c r="L136" s="12">
        <f t="shared" si="2"/>
        <v>129</v>
      </c>
      <c r="M136" s="12">
        <f t="shared" si="1"/>
        <v>-15390</v>
      </c>
    </row>
    <row r="137">
      <c r="G137" s="12">
        <v>4.275</v>
      </c>
      <c r="H137" s="12" t="s">
        <v>326</v>
      </c>
      <c r="I137" s="12">
        <v>15390.0</v>
      </c>
      <c r="L137" s="12">
        <f t="shared" si="2"/>
        <v>130</v>
      </c>
      <c r="M137" s="12">
        <f t="shared" si="1"/>
        <v>-15510</v>
      </c>
    </row>
    <row r="138">
      <c r="G138" s="12">
        <v>4.30833333333333</v>
      </c>
      <c r="H138" s="12" t="s">
        <v>327</v>
      </c>
      <c r="I138" s="12">
        <v>15510.0</v>
      </c>
      <c r="L138" s="12">
        <f t="shared" si="2"/>
        <v>131</v>
      </c>
      <c r="M138" s="12">
        <f t="shared" si="1"/>
        <v>-15630</v>
      </c>
    </row>
    <row r="139">
      <c r="G139" s="12">
        <v>4.34166666666666</v>
      </c>
      <c r="H139" s="12" t="s">
        <v>328</v>
      </c>
      <c r="I139" s="12">
        <v>15630.0</v>
      </c>
      <c r="L139" s="12">
        <f t="shared" si="2"/>
        <v>132</v>
      </c>
      <c r="M139" s="12">
        <f t="shared" si="1"/>
        <v>-15750</v>
      </c>
    </row>
    <row r="140">
      <c r="G140" s="12">
        <v>4.375</v>
      </c>
      <c r="H140" s="12" t="s">
        <v>329</v>
      </c>
      <c r="I140" s="12">
        <v>15750.0</v>
      </c>
      <c r="L140" s="12">
        <f t="shared" si="2"/>
        <v>133</v>
      </c>
      <c r="M140" s="12">
        <f t="shared" si="1"/>
        <v>-15870</v>
      </c>
    </row>
    <row r="141">
      <c r="G141" s="12">
        <v>4.40833333333333</v>
      </c>
      <c r="H141" s="12" t="s">
        <v>330</v>
      </c>
      <c r="I141" s="12">
        <v>15870.0</v>
      </c>
      <c r="L141" s="12">
        <f t="shared" si="2"/>
        <v>134</v>
      </c>
      <c r="M141" s="12">
        <f t="shared" si="1"/>
        <v>-15990</v>
      </c>
    </row>
    <row r="142">
      <c r="G142" s="12">
        <v>4.44166666666666</v>
      </c>
      <c r="H142" s="12" t="s">
        <v>331</v>
      </c>
      <c r="I142" s="12">
        <v>15990.0</v>
      </c>
      <c r="L142" s="12">
        <f t="shared" si="2"/>
        <v>135</v>
      </c>
      <c r="M142" s="12">
        <f t="shared" si="1"/>
        <v>-16110</v>
      </c>
    </row>
    <row r="143">
      <c r="G143" s="12">
        <v>4.475</v>
      </c>
      <c r="H143" s="12" t="s">
        <v>332</v>
      </c>
      <c r="I143" s="12">
        <v>16109.9999999999</v>
      </c>
      <c r="L143" s="12">
        <f t="shared" si="2"/>
        <v>136</v>
      </c>
      <c r="M143" s="12">
        <f t="shared" si="1"/>
        <v>-16230</v>
      </c>
    </row>
    <row r="144">
      <c r="G144" s="12">
        <v>4.50833333333333</v>
      </c>
      <c r="H144" s="12" t="s">
        <v>333</v>
      </c>
      <c r="I144" s="12">
        <v>16230.0</v>
      </c>
      <c r="L144" s="12">
        <f t="shared" si="2"/>
        <v>137</v>
      </c>
      <c r="M144" s="12">
        <f t="shared" si="1"/>
        <v>-16350</v>
      </c>
    </row>
    <row r="145">
      <c r="G145" s="12">
        <v>4.54166666666666</v>
      </c>
      <c r="H145" s="12" t="s">
        <v>334</v>
      </c>
      <c r="I145" s="12">
        <v>16350.0</v>
      </c>
      <c r="L145" s="12">
        <f t="shared" si="2"/>
        <v>138</v>
      </c>
      <c r="M145" s="12">
        <f t="shared" si="1"/>
        <v>-16470</v>
      </c>
    </row>
    <row r="146">
      <c r="G146" s="12">
        <v>4.575</v>
      </c>
      <c r="H146" s="12" t="s">
        <v>335</v>
      </c>
      <c r="I146" s="12">
        <v>16470.0</v>
      </c>
      <c r="L146" s="12">
        <f t="shared" si="2"/>
        <v>139</v>
      </c>
      <c r="M146" s="12">
        <f t="shared" si="1"/>
        <v>-16590</v>
      </c>
    </row>
    <row r="147">
      <c r="G147" s="12">
        <v>4.60833333333333</v>
      </c>
      <c r="H147" s="12" t="s">
        <v>336</v>
      </c>
      <c r="I147" s="12">
        <v>16590.0</v>
      </c>
      <c r="L147" s="12">
        <f t="shared" si="2"/>
        <v>140</v>
      </c>
      <c r="M147" s="12">
        <f t="shared" si="1"/>
        <v>-16710</v>
      </c>
    </row>
    <row r="148">
      <c r="G148" s="12">
        <v>4.64166666666666</v>
      </c>
      <c r="H148" s="12" t="s">
        <v>337</v>
      </c>
      <c r="I148" s="12">
        <v>16710.0</v>
      </c>
      <c r="L148" s="12">
        <f t="shared" si="2"/>
        <v>141</v>
      </c>
      <c r="M148" s="12">
        <f t="shared" si="1"/>
        <v>-16830</v>
      </c>
    </row>
    <row r="149">
      <c r="G149" s="12">
        <v>4.675</v>
      </c>
      <c r="H149" s="12" t="s">
        <v>338</v>
      </c>
      <c r="I149" s="12">
        <v>16830.0</v>
      </c>
      <c r="L149" s="12">
        <f t="shared" si="2"/>
        <v>142</v>
      </c>
      <c r="M149" s="12">
        <f t="shared" si="1"/>
        <v>-16950</v>
      </c>
    </row>
    <row r="150">
      <c r="G150" s="12">
        <v>4.70833333333333</v>
      </c>
      <c r="H150" s="12" t="s">
        <v>339</v>
      </c>
      <c r="I150" s="12">
        <v>16950.0</v>
      </c>
      <c r="L150" s="12">
        <f t="shared" si="2"/>
        <v>143</v>
      </c>
      <c r="M150" s="12">
        <f t="shared" si="1"/>
        <v>-17070</v>
      </c>
    </row>
    <row r="151">
      <c r="G151" s="12">
        <v>4.74166666666666</v>
      </c>
      <c r="H151" s="12" t="s">
        <v>340</v>
      </c>
      <c r="I151" s="12">
        <v>17070.0</v>
      </c>
      <c r="L151" s="12">
        <f t="shared" si="2"/>
        <v>144</v>
      </c>
      <c r="M151" s="12">
        <f t="shared" si="1"/>
        <v>-17190</v>
      </c>
    </row>
    <row r="152">
      <c r="G152" s="12">
        <v>4.775</v>
      </c>
      <c r="H152" s="12" t="s">
        <v>341</v>
      </c>
      <c r="I152" s="12">
        <v>17190.0</v>
      </c>
      <c r="L152" s="12">
        <f t="shared" si="2"/>
        <v>145</v>
      </c>
      <c r="M152" s="12">
        <f t="shared" si="1"/>
        <v>-17310</v>
      </c>
    </row>
    <row r="153">
      <c r="G153" s="12">
        <v>4.80833333333333</v>
      </c>
      <c r="H153" s="12" t="s">
        <v>342</v>
      </c>
      <c r="I153" s="12">
        <v>17310.0</v>
      </c>
      <c r="L153" s="12">
        <f t="shared" si="2"/>
        <v>146</v>
      </c>
      <c r="M153" s="12">
        <f t="shared" si="1"/>
        <v>-17430</v>
      </c>
    </row>
    <row r="154">
      <c r="G154" s="12">
        <v>4.84166666666666</v>
      </c>
      <c r="H154" s="12" t="s">
        <v>343</v>
      </c>
      <c r="I154" s="12">
        <v>17430.0</v>
      </c>
      <c r="L154" s="12">
        <f t="shared" si="2"/>
        <v>147</v>
      </c>
      <c r="M154" s="12">
        <f t="shared" si="1"/>
        <v>-17550</v>
      </c>
    </row>
    <row r="155">
      <c r="G155" s="12">
        <v>4.875</v>
      </c>
      <c r="H155" s="12" t="s">
        <v>344</v>
      </c>
      <c r="I155" s="12">
        <v>17550.0</v>
      </c>
      <c r="L155" s="12">
        <f t="shared" si="2"/>
        <v>148</v>
      </c>
      <c r="M155" s="12">
        <f t="shared" si="1"/>
        <v>-17670</v>
      </c>
    </row>
    <row r="156">
      <c r="G156" s="12">
        <v>4.90833333333333</v>
      </c>
      <c r="H156" s="12" t="s">
        <v>345</v>
      </c>
      <c r="I156" s="12">
        <v>17670.0</v>
      </c>
      <c r="L156" s="12">
        <f t="shared" si="2"/>
        <v>149</v>
      </c>
      <c r="M156" s="12">
        <f t="shared" si="1"/>
        <v>-17790</v>
      </c>
    </row>
    <row r="157">
      <c r="G157" s="12">
        <v>4.94166666666666</v>
      </c>
      <c r="H157" s="12" t="s">
        <v>346</v>
      </c>
      <c r="I157" s="12">
        <v>17790.0</v>
      </c>
      <c r="L157" s="12">
        <f t="shared" si="2"/>
        <v>150</v>
      </c>
      <c r="M157" s="12">
        <f t="shared" si="1"/>
        <v>-17910</v>
      </c>
    </row>
    <row r="158">
      <c r="G158" s="12">
        <v>4.975</v>
      </c>
      <c r="H158" s="12" t="s">
        <v>347</v>
      </c>
      <c r="I158" s="12">
        <v>17910.0</v>
      </c>
      <c r="L158" s="12">
        <f t="shared" si="2"/>
        <v>151</v>
      </c>
      <c r="M158" s="12">
        <f t="shared" si="1"/>
        <v>-18030</v>
      </c>
    </row>
    <row r="159">
      <c r="G159" s="12">
        <v>5.00833333333333</v>
      </c>
      <c r="H159" s="12" t="s">
        <v>348</v>
      </c>
      <c r="I159" s="12">
        <v>18030.0</v>
      </c>
      <c r="L159" s="12">
        <f t="shared" si="2"/>
        <v>152</v>
      </c>
      <c r="M159" s="12">
        <f t="shared" si="1"/>
        <v>-18150</v>
      </c>
    </row>
    <row r="160">
      <c r="G160" s="12">
        <v>5.04166666666666</v>
      </c>
      <c r="H160" s="12" t="s">
        <v>349</v>
      </c>
      <c r="I160" s="12">
        <v>18150.0</v>
      </c>
      <c r="L160" s="12">
        <f t="shared" si="2"/>
        <v>153</v>
      </c>
      <c r="M160" s="12">
        <f t="shared" si="1"/>
        <v>-18270</v>
      </c>
    </row>
    <row r="161">
      <c r="G161" s="12">
        <v>5.075</v>
      </c>
      <c r="H161" s="12" t="s">
        <v>350</v>
      </c>
      <c r="I161" s="12">
        <v>18270.0</v>
      </c>
      <c r="L161" s="12">
        <f t="shared" si="2"/>
        <v>154</v>
      </c>
      <c r="M161" s="12">
        <f t="shared" si="1"/>
        <v>-18390</v>
      </c>
    </row>
    <row r="162">
      <c r="G162" s="12">
        <v>5.10833333333333</v>
      </c>
      <c r="H162" s="12" t="s">
        <v>351</v>
      </c>
      <c r="I162" s="12">
        <v>18390.0</v>
      </c>
      <c r="L162" s="12">
        <f t="shared" si="2"/>
        <v>155</v>
      </c>
      <c r="M162" s="12">
        <f t="shared" si="1"/>
        <v>-18510</v>
      </c>
    </row>
    <row r="163">
      <c r="G163" s="12">
        <v>5.14166666666666</v>
      </c>
      <c r="H163" s="12" t="s">
        <v>352</v>
      </c>
      <c r="I163" s="12">
        <v>18510.0</v>
      </c>
      <c r="L163" s="12">
        <f t="shared" si="2"/>
        <v>156</v>
      </c>
      <c r="M163" s="12">
        <f t="shared" si="1"/>
        <v>-18630</v>
      </c>
    </row>
    <row r="164">
      <c r="G164" s="12">
        <v>5.175</v>
      </c>
      <c r="H164" s="12" t="s">
        <v>353</v>
      </c>
      <c r="I164" s="12">
        <v>18630.0</v>
      </c>
      <c r="L164" s="12">
        <f t="shared" si="2"/>
        <v>157</v>
      </c>
      <c r="M164" s="12">
        <f t="shared" si="1"/>
        <v>-18750</v>
      </c>
    </row>
    <row r="165">
      <c r="G165" s="12">
        <v>5.20833333333333</v>
      </c>
      <c r="H165" s="12" t="s">
        <v>354</v>
      </c>
      <c r="I165" s="12">
        <v>18750.0</v>
      </c>
      <c r="L165" s="12">
        <f t="shared" si="2"/>
        <v>158</v>
      </c>
      <c r="M165" s="12">
        <f t="shared" si="1"/>
        <v>-18870</v>
      </c>
    </row>
    <row r="166">
      <c r="G166" s="12">
        <v>5.24166666666666</v>
      </c>
      <c r="H166" s="12" t="s">
        <v>355</v>
      </c>
      <c r="I166" s="12">
        <v>18870.0</v>
      </c>
      <c r="L166" s="12">
        <f t="shared" si="2"/>
        <v>159</v>
      </c>
      <c r="M166" s="12">
        <f t="shared" si="1"/>
        <v>-18990</v>
      </c>
    </row>
    <row r="167">
      <c r="G167" s="12">
        <v>5.275</v>
      </c>
      <c r="H167" s="12" t="s">
        <v>356</v>
      </c>
      <c r="I167" s="12">
        <v>18990.0</v>
      </c>
      <c r="L167" s="12">
        <f t="shared" si="2"/>
        <v>160</v>
      </c>
      <c r="M167" s="12">
        <f t="shared" si="1"/>
        <v>-19110</v>
      </c>
    </row>
    <row r="168">
      <c r="G168" s="12">
        <v>5.30833333333333</v>
      </c>
      <c r="H168" s="12" t="s">
        <v>357</v>
      </c>
      <c r="I168" s="12">
        <v>19110.0</v>
      </c>
      <c r="L168" s="12">
        <f t="shared" si="2"/>
        <v>161</v>
      </c>
      <c r="M168" s="12">
        <f t="shared" si="1"/>
        <v>-19230</v>
      </c>
    </row>
    <row r="169">
      <c r="G169" s="12">
        <v>5.34166666666666</v>
      </c>
      <c r="H169" s="12" t="s">
        <v>358</v>
      </c>
      <c r="I169" s="12">
        <v>19230.0</v>
      </c>
      <c r="L169" s="12">
        <f t="shared" si="2"/>
        <v>162</v>
      </c>
      <c r="M169" s="12">
        <f t="shared" si="1"/>
        <v>-19350</v>
      </c>
    </row>
    <row r="170">
      <c r="G170" s="12">
        <v>5.375</v>
      </c>
      <c r="H170" s="12" t="s">
        <v>359</v>
      </c>
      <c r="I170" s="12">
        <v>19350.0</v>
      </c>
      <c r="L170" s="12">
        <f t="shared" si="2"/>
        <v>163</v>
      </c>
      <c r="M170" s="12">
        <f t="shared" si="1"/>
        <v>-19470</v>
      </c>
    </row>
    <row r="171">
      <c r="G171" s="12">
        <v>5.40833333333333</v>
      </c>
      <c r="H171" s="12" t="s">
        <v>360</v>
      </c>
      <c r="I171" s="12">
        <v>19470.0</v>
      </c>
      <c r="L171" s="12">
        <f t="shared" si="2"/>
        <v>164</v>
      </c>
      <c r="M171" s="12">
        <f t="shared" si="1"/>
        <v>-19590</v>
      </c>
    </row>
    <row r="172">
      <c r="G172" s="12">
        <v>5.44166666666666</v>
      </c>
      <c r="H172" s="12" t="s">
        <v>361</v>
      </c>
      <c r="I172" s="12">
        <v>19590.0</v>
      </c>
      <c r="L172" s="12">
        <f t="shared" si="2"/>
        <v>165</v>
      </c>
      <c r="M172" s="12">
        <f t="shared" si="1"/>
        <v>-19710</v>
      </c>
    </row>
    <row r="173">
      <c r="G173" s="12">
        <v>5.475</v>
      </c>
      <c r="H173" s="12" t="s">
        <v>362</v>
      </c>
      <c r="I173" s="12">
        <v>19710.0</v>
      </c>
      <c r="L173" s="12">
        <f t="shared" si="2"/>
        <v>166</v>
      </c>
      <c r="M173" s="12">
        <f t="shared" si="1"/>
        <v>-19830</v>
      </c>
    </row>
    <row r="174">
      <c r="G174" s="12">
        <v>5.50833333333333</v>
      </c>
      <c r="H174" s="12" t="s">
        <v>363</v>
      </c>
      <c r="I174" s="12">
        <v>19830.0</v>
      </c>
      <c r="L174" s="12">
        <f t="shared" si="2"/>
        <v>167</v>
      </c>
      <c r="M174" s="12">
        <f t="shared" si="1"/>
        <v>-19950</v>
      </c>
    </row>
    <row r="175">
      <c r="G175" s="12">
        <v>5.54166666666666</v>
      </c>
      <c r="H175" s="12" t="s">
        <v>368</v>
      </c>
      <c r="I175" s="12">
        <v>19950.0</v>
      </c>
      <c r="L175" s="12">
        <f t="shared" si="2"/>
        <v>168</v>
      </c>
      <c r="M175" s="12">
        <f t="shared" si="1"/>
        <v>-20070</v>
      </c>
    </row>
    <row r="176">
      <c r="G176" s="12">
        <v>5.575</v>
      </c>
      <c r="H176" s="12" t="s">
        <v>369</v>
      </c>
      <c r="I176" s="12">
        <v>20070.0</v>
      </c>
      <c r="L176" s="12">
        <f t="shared" si="2"/>
        <v>169</v>
      </c>
      <c r="M176" s="12">
        <f t="shared" si="1"/>
        <v>-20190</v>
      </c>
    </row>
    <row r="177">
      <c r="G177" s="12">
        <v>5.60833333333333</v>
      </c>
      <c r="H177" s="12" t="s">
        <v>370</v>
      </c>
      <c r="I177" s="12">
        <v>20190.0</v>
      </c>
      <c r="L177" s="12">
        <f t="shared" si="2"/>
        <v>170</v>
      </c>
      <c r="M177" s="12">
        <f t="shared" si="1"/>
        <v>-20310</v>
      </c>
    </row>
    <row r="178">
      <c r="G178" s="12">
        <v>5.64166666666666</v>
      </c>
      <c r="H178" s="12" t="s">
        <v>371</v>
      </c>
      <c r="I178" s="12">
        <v>20310.0</v>
      </c>
      <c r="L178" s="12">
        <f t="shared" si="2"/>
        <v>171</v>
      </c>
      <c r="M178" s="12">
        <f t="shared" si="1"/>
        <v>-20430</v>
      </c>
    </row>
    <row r="179">
      <c r="G179" s="12">
        <v>5.675</v>
      </c>
      <c r="H179" s="12" t="s">
        <v>372</v>
      </c>
      <c r="I179" s="12">
        <v>20430.0</v>
      </c>
      <c r="L179" s="12">
        <f t="shared" si="2"/>
        <v>172</v>
      </c>
      <c r="M179" s="12">
        <f t="shared" si="1"/>
        <v>-20550</v>
      </c>
    </row>
    <row r="180">
      <c r="G180" s="12">
        <v>5.70833333333333</v>
      </c>
      <c r="H180" s="12" t="s">
        <v>373</v>
      </c>
      <c r="I180" s="12">
        <v>20550.0</v>
      </c>
      <c r="L180" s="12">
        <f t="shared" si="2"/>
        <v>173</v>
      </c>
      <c r="M180" s="12">
        <f t="shared" si="1"/>
        <v>-20670</v>
      </c>
    </row>
    <row r="181">
      <c r="G181" s="12">
        <v>5.74166666666666</v>
      </c>
      <c r="H181" s="12" t="s">
        <v>374</v>
      </c>
      <c r="I181" s="12">
        <v>20670.0</v>
      </c>
      <c r="L181" s="12">
        <f t="shared" si="2"/>
        <v>174</v>
      </c>
      <c r="M181" s="12">
        <f t="shared" si="1"/>
        <v>-20790</v>
      </c>
    </row>
    <row r="182">
      <c r="G182" s="12">
        <v>5.775</v>
      </c>
      <c r="H182" s="12" t="s">
        <v>375</v>
      </c>
      <c r="I182" s="12">
        <v>20790.0</v>
      </c>
      <c r="L182" s="12">
        <f t="shared" si="2"/>
        <v>175</v>
      </c>
      <c r="M182" s="12">
        <f t="shared" si="1"/>
        <v>-20910</v>
      </c>
    </row>
    <row r="183">
      <c r="G183" s="12">
        <v>5.80833333333333</v>
      </c>
      <c r="H183" s="12" t="s">
        <v>376</v>
      </c>
      <c r="I183" s="12">
        <v>20910.0</v>
      </c>
      <c r="L183" s="12">
        <f t="shared" si="2"/>
        <v>176</v>
      </c>
      <c r="M183" s="12">
        <f t="shared" si="1"/>
        <v>-21030</v>
      </c>
    </row>
    <row r="184">
      <c r="G184" s="12">
        <v>5.84166666666666</v>
      </c>
      <c r="H184" s="12" t="s">
        <v>377</v>
      </c>
      <c r="I184" s="12">
        <v>21030.0</v>
      </c>
      <c r="L184" s="12">
        <f t="shared" si="2"/>
        <v>177</v>
      </c>
      <c r="M184" s="12">
        <f t="shared" si="1"/>
        <v>-21150</v>
      </c>
    </row>
    <row r="185">
      <c r="G185" s="12">
        <v>5.875</v>
      </c>
      <c r="H185" s="12" t="s">
        <v>378</v>
      </c>
      <c r="I185" s="12">
        <v>21150.0</v>
      </c>
      <c r="L185" s="12">
        <f t="shared" si="2"/>
        <v>178</v>
      </c>
      <c r="M185" s="12">
        <f t="shared" si="1"/>
        <v>-21270</v>
      </c>
    </row>
    <row r="186">
      <c r="G186" s="12">
        <v>5.90833333333333</v>
      </c>
      <c r="H186" s="12" t="s">
        <v>379</v>
      </c>
      <c r="I186" s="12">
        <v>21270.0</v>
      </c>
      <c r="L186" s="12">
        <f t="shared" si="2"/>
        <v>179</v>
      </c>
      <c r="M186" s="12">
        <f t="shared" si="1"/>
        <v>-21390</v>
      </c>
    </row>
    <row r="187">
      <c r="G187" s="12">
        <v>5.94166666666666</v>
      </c>
      <c r="H187" s="12" t="s">
        <v>380</v>
      </c>
      <c r="I187" s="12">
        <v>21390.0</v>
      </c>
      <c r="L187" s="12">
        <f t="shared" si="2"/>
        <v>180</v>
      </c>
      <c r="M187" s="12">
        <f t="shared" si="1"/>
        <v>-21510</v>
      </c>
    </row>
    <row r="188">
      <c r="G188" s="12">
        <v>5.975</v>
      </c>
      <c r="H188" s="12" t="s">
        <v>381</v>
      </c>
      <c r="I188" s="12">
        <v>21510.0</v>
      </c>
      <c r="L188" s="12">
        <f t="shared" si="2"/>
        <v>181</v>
      </c>
      <c r="M188" s="12">
        <f t="shared" si="1"/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2025-11-01T11:10:33Z</dcterms:created>
</cp:coreProperties>
</file>